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orkspace\importador-acme\data\"/>
    </mc:Choice>
  </mc:AlternateContent>
  <xr:revisionPtr revIDLastSave="0" documentId="13_ncr:1_{27C7BF6D-6EBC-4DEE-B97A-0EAB8A28B40B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Vendedores" sheetId="2" r:id="rId1"/>
    <sheet name="Clientes" sheetId="3" r:id="rId2"/>
    <sheet name="Locales" sheetId="4" r:id="rId3"/>
    <sheet name="Producto" sheetId="5" r:id="rId4"/>
    <sheet name="Venta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4" i="6" l="1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</calcChain>
</file>

<file path=xl/sharedStrings.xml><?xml version="1.0" encoding="utf-8"?>
<sst xmlns="http://schemas.openxmlformats.org/spreadsheetml/2006/main" count="617" uniqueCount="110">
  <si>
    <t>Vendedor</t>
  </si>
  <si>
    <t>Territorio</t>
  </si>
  <si>
    <t>Juan Francisco</t>
  </si>
  <si>
    <t>Zona Norte</t>
  </si>
  <si>
    <t>Roberto</t>
  </si>
  <si>
    <t>Zona Centro y Zona Sur</t>
  </si>
  <si>
    <t>Fabiola</t>
  </si>
  <si>
    <t>Selva</t>
  </si>
  <si>
    <t>Pedro</t>
  </si>
  <si>
    <t>Sierra Central</t>
  </si>
  <si>
    <t>Orestes</t>
  </si>
  <si>
    <t>Lima Provincias</t>
  </si>
  <si>
    <t>Viviana</t>
  </si>
  <si>
    <t>Lima Metropolitana</t>
  </si>
  <si>
    <t>Cliente</t>
  </si>
  <si>
    <t>Segmento</t>
  </si>
  <si>
    <t>Pesquera San Miguel</t>
  </si>
  <si>
    <t>Pesca</t>
  </si>
  <si>
    <t>Pesquera San Antonio</t>
  </si>
  <si>
    <t>Hayduck</t>
  </si>
  <si>
    <t>Distrimar</t>
  </si>
  <si>
    <t>Open Sea</t>
  </si>
  <si>
    <t>Contructech</t>
  </si>
  <si>
    <t>Construcción</t>
  </si>
  <si>
    <t>La Viga</t>
  </si>
  <si>
    <t>Grupo Praxis</t>
  </si>
  <si>
    <t>ABJ Ingenieros</t>
  </si>
  <si>
    <t>Minera Cobra</t>
  </si>
  <si>
    <t>Mineria</t>
  </si>
  <si>
    <t>Gold Mining</t>
  </si>
  <si>
    <t>Silver Investments</t>
  </si>
  <si>
    <t>Local</t>
  </si>
  <si>
    <t>Planta Principal</t>
  </si>
  <si>
    <t>Planta Ancash</t>
  </si>
  <si>
    <t>Zona Centro</t>
  </si>
  <si>
    <t>Bodega Arequipa</t>
  </si>
  <si>
    <t>Zona Sur</t>
  </si>
  <si>
    <t>Almacén Tingo María</t>
  </si>
  <si>
    <t>Planta Huancayo</t>
  </si>
  <si>
    <t>Almacén Huacho</t>
  </si>
  <si>
    <t>Lima Povincias</t>
  </si>
  <si>
    <t>Oficina Principal</t>
  </si>
  <si>
    <t>Procesadora Norte</t>
  </si>
  <si>
    <t>Planta Paita</t>
  </si>
  <si>
    <t>Planta Talara</t>
  </si>
  <si>
    <t>Planta Moquegua</t>
  </si>
  <si>
    <t>Planta Callao</t>
  </si>
  <si>
    <t>Planta Arequipa</t>
  </si>
  <si>
    <t>Planta Chiclayo</t>
  </si>
  <si>
    <t>Procesadora Huaura</t>
  </si>
  <si>
    <t>HAYDUCK</t>
  </si>
  <si>
    <t>Planta Huacho</t>
  </si>
  <si>
    <t>HAYduck</t>
  </si>
  <si>
    <t>Oficina Trujillo</t>
  </si>
  <si>
    <t>Bodega Cañete</t>
  </si>
  <si>
    <t>Almacén Tacna</t>
  </si>
  <si>
    <t>Almacén Trujillo</t>
  </si>
  <si>
    <t>Oficina Madre de Dios</t>
  </si>
  <si>
    <t>Oficina San Borja</t>
  </si>
  <si>
    <t>Almacen Lurin</t>
  </si>
  <si>
    <t>Almacen Ancon</t>
  </si>
  <si>
    <t>Mina Aurora</t>
  </si>
  <si>
    <t>Mina Juliana</t>
  </si>
  <si>
    <t>Mina Helena</t>
  </si>
  <si>
    <t>Mina La Poderosa</t>
  </si>
  <si>
    <t>Mina San Juan</t>
  </si>
  <si>
    <t>Almacen Ayacucho</t>
  </si>
  <si>
    <t>Almacen Huaraz</t>
  </si>
  <si>
    <t>Mina Sierra Bonita</t>
  </si>
  <si>
    <t>Mina Tajo Abierto</t>
  </si>
  <si>
    <t>Mina Puro Oro</t>
  </si>
  <si>
    <t>Mina Platifera</t>
  </si>
  <si>
    <t>Producto</t>
  </si>
  <si>
    <t>Categoria</t>
  </si>
  <si>
    <t>Marca</t>
  </si>
  <si>
    <t>Comercializador</t>
  </si>
  <si>
    <t>Motobomba Lite de 10HP</t>
  </si>
  <si>
    <t>Motobombas</t>
  </si>
  <si>
    <t>Power Flow</t>
  </si>
  <si>
    <t>ACME</t>
  </si>
  <si>
    <t>Valvula de Corte Recto</t>
  </si>
  <si>
    <t>Valvulas</t>
  </si>
  <si>
    <t>Grupo Electrógeno 150M</t>
  </si>
  <si>
    <t>Grupos Electrógenos</t>
  </si>
  <si>
    <t>Yamaha</t>
  </si>
  <si>
    <t>Caldera Corriente Bump</t>
  </si>
  <si>
    <t>Calderas</t>
  </si>
  <si>
    <t>Calidonia</t>
  </si>
  <si>
    <t>Motobomba Medium de 30HP</t>
  </si>
  <si>
    <t>Motobomba Large de 50HP</t>
  </si>
  <si>
    <t>Valvula de Corte Triangular</t>
  </si>
  <si>
    <t>Valvula de Corte Redondo</t>
  </si>
  <si>
    <t>Grupo Electrógeno 250M</t>
  </si>
  <si>
    <t>KTM</t>
  </si>
  <si>
    <t>Grupo Electrógeno 2500</t>
  </si>
  <si>
    <t>Grupo Electrógeno 3500</t>
  </si>
  <si>
    <t>Caldera Corriente Punch</t>
  </si>
  <si>
    <t>Caldera Backwards</t>
  </si>
  <si>
    <t>Enery Dream</t>
  </si>
  <si>
    <t>RESASA</t>
  </si>
  <si>
    <t>Motobomba Lite de 15HP</t>
  </si>
  <si>
    <t>Valvula Triple Especial</t>
  </si>
  <si>
    <t>Revalve</t>
  </si>
  <si>
    <t>HARD IMPORT</t>
  </si>
  <si>
    <t>Big Moto</t>
  </si>
  <si>
    <t>Motobomba Large de 70HP</t>
  </si>
  <si>
    <t>Fecha</t>
  </si>
  <si>
    <t>Precio (USD)</t>
  </si>
  <si>
    <t>Cantidad</t>
  </si>
  <si>
    <t>Monto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</si>
</sst>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1" fillId="0" borderId="0" xfId="0" applyFont="1"/>
    <xf numFmtId="164" fontId="1" fillId="0" borderId="0" xfId="0" applyNumberFormat="1" applyFont="1" applyAlignment="1">
      <alignment horizontal="center"/>
    </xf>
    <xf numFmtId="4" fontId="1" fillId="0" borderId="0" xfId="0" applyNumberFormat="1" applyFont="1" applyAlignment="1"/>
    <xf numFmtId="164" fontId="2" fillId="0" borderId="0" xfId="0" applyNumberFormat="1" applyFont="1" applyAlignment="1">
      <alignment horizontal="center"/>
    </xf>
    <xf numFmtId="4" fontId="2" fillId="0" borderId="0" xfId="0" applyNumberFormat="1" applyFont="1" applyAlignment="1"/>
    <xf numFmtId="164" fontId="2" fillId="0" borderId="0" xfId="0" applyNumberFormat="1" applyFont="1" applyAlignment="1">
      <alignment horizontal="center"/>
    </xf>
    <xf numFmtId="0" fontId="2" fillId="0" borderId="0" xfId="0" applyFont="1" applyAlignment="1"/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1"/>
  <sheetViews>
    <sheetView zoomScale="117" workbookViewId="0">
      <selection sqref="A1:B7"/>
    </sheetView>
  </sheetViews>
  <sheetFormatPr baseColWidth="10" defaultColWidth="12.6640625" defaultRowHeight="15.75" customHeight="1" x14ac:dyDescent="0.25"/>
  <cols>
    <col min="1" max="1" width="14.88671875" customWidth="1"/>
    <col min="2" max="2" width="29.6640625" customWidth="1"/>
  </cols>
  <sheetData>
    <row r="1" spans="1:2" ht="15.75" customHeight="1" x14ac:dyDescent="0.3">
      <c r="A1" s="1" t="s">
        <v>0</v>
      </c>
      <c r="B1" s="1" t="s">
        <v>1</v>
      </c>
    </row>
    <row r="2" spans="1:2" ht="15.75" customHeight="1" x14ac:dyDescent="0.3">
      <c r="A2" s="2" t="s">
        <v>2</v>
      </c>
      <c r="B2" s="2" t="s">
        <v>3</v>
      </c>
    </row>
    <row r="3" spans="1:2" ht="15.75" customHeight="1" x14ac:dyDescent="0.3">
      <c r="A3" s="2" t="s">
        <v>4</v>
      </c>
      <c r="B3" s="2" t="s">
        <v>5</v>
      </c>
    </row>
    <row r="4" spans="1:2" ht="15.75" customHeight="1" x14ac:dyDescent="0.3">
      <c r="A4" s="2" t="s">
        <v>6</v>
      </c>
      <c r="B4" s="2" t="s">
        <v>7</v>
      </c>
    </row>
    <row r="5" spans="1:2" ht="15.75" customHeight="1" x14ac:dyDescent="0.3">
      <c r="A5" s="2" t="s">
        <v>8</v>
      </c>
      <c r="B5" s="2" t="s">
        <v>9</v>
      </c>
    </row>
    <row r="6" spans="1:2" ht="15.75" customHeight="1" x14ac:dyDescent="0.3">
      <c r="A6" s="2" t="s">
        <v>10</v>
      </c>
      <c r="B6" s="2" t="s">
        <v>11</v>
      </c>
    </row>
    <row r="7" spans="1:2" ht="15.75" customHeight="1" x14ac:dyDescent="0.3">
      <c r="A7" s="2" t="s">
        <v>12</v>
      </c>
      <c r="B7" s="2" t="s">
        <v>13</v>
      </c>
    </row>
    <row r="8" spans="1:2" ht="15.75" customHeight="1" x14ac:dyDescent="0.3">
      <c r="A8" s="2"/>
      <c r="B8" s="3"/>
    </row>
    <row r="9" spans="1:2" ht="15.75" customHeight="1" x14ac:dyDescent="0.3">
      <c r="A9" s="3"/>
      <c r="B9" s="3"/>
    </row>
    <row r="10" spans="1:2" ht="15.75" customHeight="1" x14ac:dyDescent="0.3">
      <c r="A10" s="3"/>
      <c r="B10" s="3"/>
    </row>
    <row r="11" spans="1:2" ht="15.75" customHeight="1" x14ac:dyDescent="0.3">
      <c r="A11" s="3"/>
      <c r="B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5"/>
  <sheetViews>
    <sheetView workbookViewId="0">
      <selection activeCell="A2" sqref="A2"/>
    </sheetView>
  </sheetViews>
  <sheetFormatPr baseColWidth="10" defaultColWidth="12.6640625" defaultRowHeight="15.75" customHeight="1" x14ac:dyDescent="0.25"/>
  <cols>
    <col min="1" max="1" width="19.77734375" customWidth="1"/>
    <col min="3" max="3" width="71.88671875" customWidth="1"/>
  </cols>
  <sheetData>
    <row r="1" spans="1:4" ht="15.75" customHeight="1" x14ac:dyDescent="0.3">
      <c r="A1" s="1" t="s">
        <v>14</v>
      </c>
      <c r="B1" s="1" t="s">
        <v>15</v>
      </c>
      <c r="C1" s="1"/>
      <c r="D1" s="4"/>
    </row>
    <row r="2" spans="1:4" ht="15.75" customHeight="1" x14ac:dyDescent="0.3">
      <c r="A2" s="2" t="s">
        <v>16</v>
      </c>
      <c r="B2" s="2" t="s">
        <v>17</v>
      </c>
      <c r="C2" s="2"/>
      <c r="D2" s="3"/>
    </row>
    <row r="3" spans="1:4" ht="15.75" customHeight="1" x14ac:dyDescent="0.3">
      <c r="A3" s="2" t="s">
        <v>18</v>
      </c>
      <c r="B3" s="2" t="s">
        <v>17</v>
      </c>
      <c r="C3" s="3"/>
      <c r="D3" s="3"/>
    </row>
    <row r="4" spans="1:4" ht="15.75" customHeight="1" x14ac:dyDescent="0.3">
      <c r="A4" s="2" t="s">
        <v>19</v>
      </c>
      <c r="B4" s="2" t="s">
        <v>17</v>
      </c>
      <c r="C4" s="3"/>
      <c r="D4" s="3"/>
    </row>
    <row r="5" spans="1:4" ht="15.75" customHeight="1" x14ac:dyDescent="0.3">
      <c r="A5" s="2" t="s">
        <v>20</v>
      </c>
      <c r="B5" s="2" t="s">
        <v>17</v>
      </c>
      <c r="C5" s="3"/>
      <c r="D5" s="3"/>
    </row>
    <row r="6" spans="1:4" ht="15.75" customHeight="1" x14ac:dyDescent="0.3">
      <c r="A6" s="2" t="s">
        <v>21</v>
      </c>
      <c r="B6" s="2" t="s">
        <v>17</v>
      </c>
      <c r="C6" s="3"/>
      <c r="D6" s="3"/>
    </row>
    <row r="7" spans="1:4" ht="15.75" customHeight="1" x14ac:dyDescent="0.3">
      <c r="A7" s="2" t="s">
        <v>22</v>
      </c>
      <c r="B7" s="2" t="s">
        <v>23</v>
      </c>
      <c r="C7" s="3"/>
      <c r="D7" s="3"/>
    </row>
    <row r="8" spans="1:4" ht="15.75" customHeight="1" x14ac:dyDescent="0.3">
      <c r="A8" s="2" t="s">
        <v>24</v>
      </c>
      <c r="B8" s="2" t="s">
        <v>23</v>
      </c>
      <c r="C8" s="3"/>
      <c r="D8" s="3"/>
    </row>
    <row r="9" spans="1:4" ht="15.75" customHeight="1" x14ac:dyDescent="0.3">
      <c r="A9" s="2" t="s">
        <v>25</v>
      </c>
      <c r="B9" s="2" t="s">
        <v>23</v>
      </c>
      <c r="C9" s="3"/>
      <c r="D9" s="3"/>
    </row>
    <row r="10" spans="1:4" ht="15.75" customHeight="1" x14ac:dyDescent="0.3">
      <c r="A10" s="2" t="s">
        <v>26</v>
      </c>
      <c r="B10" s="2" t="s">
        <v>23</v>
      </c>
      <c r="C10" s="3"/>
      <c r="D10" s="3"/>
    </row>
    <row r="11" spans="1:4" ht="15.75" customHeight="1" x14ac:dyDescent="0.3">
      <c r="A11" s="2" t="s">
        <v>27</v>
      </c>
      <c r="B11" s="2" t="s">
        <v>28</v>
      </c>
      <c r="C11" s="3"/>
      <c r="D11" s="3"/>
    </row>
    <row r="12" spans="1:4" ht="15.75" customHeight="1" x14ac:dyDescent="0.3">
      <c r="A12" s="2" t="s">
        <v>29</v>
      </c>
      <c r="B12" s="2" t="s">
        <v>28</v>
      </c>
      <c r="C12" s="3"/>
      <c r="D12" s="3"/>
    </row>
    <row r="13" spans="1:4" ht="15.75" customHeight="1" x14ac:dyDescent="0.3">
      <c r="A13" s="2" t="s">
        <v>30</v>
      </c>
      <c r="B13" s="2" t="s">
        <v>28</v>
      </c>
      <c r="C13" s="3"/>
      <c r="D13" s="3"/>
    </row>
    <row r="14" spans="1:4" ht="15.75" customHeight="1" x14ac:dyDescent="0.3">
      <c r="A14" s="3"/>
      <c r="B14" s="3"/>
      <c r="C14" s="3"/>
      <c r="D14" s="3"/>
    </row>
    <row r="15" spans="1:4" ht="15.75" customHeight="1" x14ac:dyDescent="0.3">
      <c r="A15" s="3"/>
      <c r="B15" s="3"/>
      <c r="C15" s="3"/>
      <c r="D1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48"/>
  <sheetViews>
    <sheetView workbookViewId="0">
      <pane ySplit="1" topLeftCell="A36" activePane="bottomLeft" state="frozen"/>
      <selection pane="bottomLeft" activeCell="B49" sqref="B49"/>
    </sheetView>
  </sheetViews>
  <sheetFormatPr baseColWidth="10" defaultColWidth="12.6640625" defaultRowHeight="15.75" customHeight="1" x14ac:dyDescent="0.25"/>
  <cols>
    <col min="1" max="1" width="26" customWidth="1"/>
    <col min="2" max="3" width="23.6640625" customWidth="1"/>
  </cols>
  <sheetData>
    <row r="1" spans="1:4" ht="15.75" customHeight="1" x14ac:dyDescent="0.3">
      <c r="A1" s="1" t="s">
        <v>31</v>
      </c>
      <c r="B1" s="1" t="s">
        <v>14</v>
      </c>
      <c r="C1" s="1" t="s">
        <v>1</v>
      </c>
      <c r="D1" s="4"/>
    </row>
    <row r="2" spans="1:4" ht="15.75" customHeight="1" x14ac:dyDescent="0.3">
      <c r="A2" s="2" t="s">
        <v>32</v>
      </c>
      <c r="B2" s="2" t="s">
        <v>24</v>
      </c>
      <c r="C2" s="2" t="s">
        <v>3</v>
      </c>
      <c r="D2" s="3"/>
    </row>
    <row r="3" spans="1:4" ht="15.75" customHeight="1" x14ac:dyDescent="0.3">
      <c r="A3" s="2" t="s">
        <v>33</v>
      </c>
      <c r="B3" s="2" t="s">
        <v>24</v>
      </c>
      <c r="C3" s="2" t="s">
        <v>34</v>
      </c>
      <c r="D3" s="3"/>
    </row>
    <row r="4" spans="1:4" ht="15.75" customHeight="1" x14ac:dyDescent="0.3">
      <c r="A4" s="2" t="s">
        <v>35</v>
      </c>
      <c r="B4" s="2" t="s">
        <v>24</v>
      </c>
      <c r="C4" s="2" t="s">
        <v>36</v>
      </c>
      <c r="D4" s="3"/>
    </row>
    <row r="5" spans="1:4" ht="15.75" customHeight="1" x14ac:dyDescent="0.3">
      <c r="A5" s="2" t="s">
        <v>37</v>
      </c>
      <c r="B5" s="2" t="s">
        <v>24</v>
      </c>
      <c r="C5" s="2" t="s">
        <v>7</v>
      </c>
      <c r="D5" s="3"/>
    </row>
    <row r="6" spans="1:4" ht="15.75" customHeight="1" x14ac:dyDescent="0.3">
      <c r="A6" s="2" t="s">
        <v>38</v>
      </c>
      <c r="B6" s="2" t="s">
        <v>24</v>
      </c>
      <c r="C6" s="2" t="s">
        <v>9</v>
      </c>
      <c r="D6" s="3"/>
    </row>
    <row r="7" spans="1:4" ht="15.75" customHeight="1" x14ac:dyDescent="0.3">
      <c r="A7" s="2" t="s">
        <v>39</v>
      </c>
      <c r="B7" s="2" t="s">
        <v>24</v>
      </c>
      <c r="C7" s="2" t="s">
        <v>40</v>
      </c>
      <c r="D7" s="3"/>
    </row>
    <row r="8" spans="1:4" ht="15.75" customHeight="1" x14ac:dyDescent="0.3">
      <c r="A8" s="2" t="s">
        <v>41</v>
      </c>
      <c r="B8" s="2" t="s">
        <v>24</v>
      </c>
      <c r="C8" s="2" t="s">
        <v>13</v>
      </c>
      <c r="D8" s="3"/>
    </row>
    <row r="9" spans="1:4" ht="15.75" customHeight="1" x14ac:dyDescent="0.3">
      <c r="A9" s="2" t="s">
        <v>42</v>
      </c>
      <c r="B9" s="2" t="s">
        <v>16</v>
      </c>
      <c r="C9" s="2" t="s">
        <v>3</v>
      </c>
      <c r="D9" s="3"/>
    </row>
    <row r="10" spans="1:4" ht="15.75" customHeight="1" x14ac:dyDescent="0.3">
      <c r="A10" s="2" t="s">
        <v>43</v>
      </c>
      <c r="B10" s="2" t="s">
        <v>16</v>
      </c>
      <c r="C10" s="2" t="s">
        <v>3</v>
      </c>
      <c r="D10" s="3"/>
    </row>
    <row r="11" spans="1:4" ht="15.75" customHeight="1" x14ac:dyDescent="0.3">
      <c r="A11" s="2" t="s">
        <v>44</v>
      </c>
      <c r="B11" s="2" t="s">
        <v>16</v>
      </c>
      <c r="C11" s="2" t="s">
        <v>3</v>
      </c>
      <c r="D11" s="3"/>
    </row>
    <row r="12" spans="1:4" ht="15.75" customHeight="1" x14ac:dyDescent="0.3">
      <c r="A12" s="2" t="s">
        <v>45</v>
      </c>
      <c r="B12" s="2" t="s">
        <v>16</v>
      </c>
      <c r="C12" s="2" t="s">
        <v>36</v>
      </c>
      <c r="D12" s="3"/>
    </row>
    <row r="13" spans="1:4" ht="15.75" customHeight="1" x14ac:dyDescent="0.3">
      <c r="A13" s="2" t="s">
        <v>46</v>
      </c>
      <c r="B13" s="2" t="s">
        <v>16</v>
      </c>
      <c r="C13" s="2" t="s">
        <v>13</v>
      </c>
      <c r="D13" s="3"/>
    </row>
    <row r="14" spans="1:4" ht="15.75" customHeight="1" x14ac:dyDescent="0.3">
      <c r="A14" s="2" t="s">
        <v>41</v>
      </c>
      <c r="B14" s="2" t="s">
        <v>18</v>
      </c>
      <c r="C14" s="2" t="s">
        <v>36</v>
      </c>
      <c r="D14" s="3"/>
    </row>
    <row r="15" spans="1:4" ht="15.75" customHeight="1" x14ac:dyDescent="0.3">
      <c r="A15" s="2" t="s">
        <v>47</v>
      </c>
      <c r="B15" s="2" t="s">
        <v>18</v>
      </c>
      <c r="C15" s="2" t="s">
        <v>36</v>
      </c>
      <c r="D15" s="3"/>
    </row>
    <row r="16" spans="1:4" ht="15.75" customHeight="1" x14ac:dyDescent="0.3">
      <c r="A16" s="2" t="s">
        <v>43</v>
      </c>
      <c r="B16" s="2" t="s">
        <v>19</v>
      </c>
      <c r="C16" s="2" t="s">
        <v>3</v>
      </c>
      <c r="D16" s="3"/>
    </row>
    <row r="17" spans="1:4" ht="15.75" customHeight="1" x14ac:dyDescent="0.3">
      <c r="A17" s="2" t="s">
        <v>48</v>
      </c>
      <c r="B17" s="2" t="s">
        <v>19</v>
      </c>
      <c r="C17" s="2" t="s">
        <v>3</v>
      </c>
      <c r="D17" s="3"/>
    </row>
    <row r="18" spans="1:4" ht="15.75" customHeight="1" x14ac:dyDescent="0.3">
      <c r="A18" s="2" t="s">
        <v>49</v>
      </c>
      <c r="B18" s="2" t="s">
        <v>50</v>
      </c>
      <c r="C18" s="2" t="s">
        <v>34</v>
      </c>
      <c r="D18" s="3"/>
    </row>
    <row r="19" spans="1:4" ht="15.75" customHeight="1" x14ac:dyDescent="0.3">
      <c r="A19" s="2" t="s">
        <v>51</v>
      </c>
      <c r="B19" s="2" t="s">
        <v>19</v>
      </c>
      <c r="C19" s="2" t="s">
        <v>34</v>
      </c>
      <c r="D19" s="3"/>
    </row>
    <row r="20" spans="1:4" ht="15.75" customHeight="1" x14ac:dyDescent="0.3">
      <c r="A20" s="2" t="s">
        <v>41</v>
      </c>
      <c r="B20" s="2" t="s">
        <v>52</v>
      </c>
      <c r="C20" s="2" t="s">
        <v>13</v>
      </c>
      <c r="D20" s="3"/>
    </row>
    <row r="21" spans="1:4" ht="15.75" customHeight="1" x14ac:dyDescent="0.3">
      <c r="A21" s="2" t="s">
        <v>53</v>
      </c>
      <c r="B21" s="2" t="s">
        <v>20</v>
      </c>
      <c r="C21" s="2" t="s">
        <v>3</v>
      </c>
      <c r="D21" s="3"/>
    </row>
    <row r="22" spans="1:4" ht="15.75" customHeight="1" x14ac:dyDescent="0.3">
      <c r="A22" s="2" t="s">
        <v>54</v>
      </c>
      <c r="B22" s="2" t="s">
        <v>20</v>
      </c>
      <c r="C22" s="2" t="s">
        <v>34</v>
      </c>
      <c r="D22" s="3"/>
    </row>
    <row r="23" spans="1:4" ht="15.75" customHeight="1" x14ac:dyDescent="0.3">
      <c r="A23" s="2" t="s">
        <v>55</v>
      </c>
      <c r="B23" s="2" t="s">
        <v>20</v>
      </c>
      <c r="C23" s="2" t="s">
        <v>36</v>
      </c>
      <c r="D23" s="3"/>
    </row>
    <row r="24" spans="1:4" ht="15.75" customHeight="1" x14ac:dyDescent="0.3">
      <c r="A24" s="2" t="s">
        <v>41</v>
      </c>
      <c r="B24" s="2" t="s">
        <v>21</v>
      </c>
      <c r="C24" s="2" t="s">
        <v>13</v>
      </c>
      <c r="D24" s="3"/>
    </row>
    <row r="25" spans="1:4" ht="15.75" customHeight="1" x14ac:dyDescent="0.3">
      <c r="A25" s="2" t="s">
        <v>56</v>
      </c>
      <c r="B25" s="2" t="s">
        <v>22</v>
      </c>
      <c r="C25" s="2" t="s">
        <v>3</v>
      </c>
      <c r="D25" s="3"/>
    </row>
    <row r="26" spans="1:4" ht="15.75" customHeight="1" x14ac:dyDescent="0.3">
      <c r="A26" s="2" t="s">
        <v>39</v>
      </c>
      <c r="B26" s="2" t="s">
        <v>22</v>
      </c>
      <c r="C26" s="2" t="s">
        <v>34</v>
      </c>
      <c r="D26" s="3"/>
    </row>
    <row r="27" spans="1:4" ht="15.75" customHeight="1" x14ac:dyDescent="0.3">
      <c r="A27" s="2" t="s">
        <v>55</v>
      </c>
      <c r="B27" s="2" t="s">
        <v>22</v>
      </c>
      <c r="C27" s="2" t="s">
        <v>36</v>
      </c>
      <c r="D27" s="3"/>
    </row>
    <row r="28" spans="1:4" ht="15.75" customHeight="1" x14ac:dyDescent="0.3">
      <c r="A28" s="2" t="s">
        <v>57</v>
      </c>
      <c r="B28" s="2" t="s">
        <v>22</v>
      </c>
      <c r="C28" s="2" t="s">
        <v>7</v>
      </c>
      <c r="D28" s="3"/>
    </row>
    <row r="29" spans="1:4" ht="15.75" customHeight="1" x14ac:dyDescent="0.3">
      <c r="A29" s="2" t="s">
        <v>41</v>
      </c>
      <c r="B29" s="2" t="s">
        <v>25</v>
      </c>
      <c r="C29" s="2" t="s">
        <v>3</v>
      </c>
      <c r="D29" s="3"/>
    </row>
    <row r="30" spans="1:4" ht="15.75" customHeight="1" x14ac:dyDescent="0.3">
      <c r="A30" s="2" t="s">
        <v>55</v>
      </c>
      <c r="B30" s="2" t="s">
        <v>25</v>
      </c>
      <c r="C30" s="2" t="s">
        <v>36</v>
      </c>
      <c r="D30" s="3"/>
    </row>
    <row r="31" spans="1:4" ht="15.75" customHeight="1" x14ac:dyDescent="0.3">
      <c r="A31" s="2" t="s">
        <v>58</v>
      </c>
      <c r="B31" s="2" t="s">
        <v>26</v>
      </c>
      <c r="C31" s="2" t="s">
        <v>13</v>
      </c>
      <c r="D31" s="3"/>
    </row>
    <row r="32" spans="1:4" ht="14.4" x14ac:dyDescent="0.3">
      <c r="A32" s="2" t="s">
        <v>59</v>
      </c>
      <c r="B32" s="2" t="s">
        <v>26</v>
      </c>
      <c r="C32" s="2" t="s">
        <v>13</v>
      </c>
      <c r="D32" s="3"/>
    </row>
    <row r="33" spans="1:4" ht="14.4" x14ac:dyDescent="0.3">
      <c r="A33" s="2" t="s">
        <v>60</v>
      </c>
      <c r="B33" s="2" t="s">
        <v>26</v>
      </c>
      <c r="C33" s="2" t="s">
        <v>13</v>
      </c>
      <c r="D33" s="3"/>
    </row>
    <row r="34" spans="1:4" ht="14.4" x14ac:dyDescent="0.3">
      <c r="A34" s="2" t="s">
        <v>61</v>
      </c>
      <c r="B34" s="2" t="s">
        <v>27</v>
      </c>
      <c r="C34" s="2" t="s">
        <v>9</v>
      </c>
      <c r="D34" s="3"/>
    </row>
    <row r="35" spans="1:4" ht="14.4" x14ac:dyDescent="0.3">
      <c r="A35" s="2" t="s">
        <v>62</v>
      </c>
      <c r="B35" s="2" t="s">
        <v>27</v>
      </c>
      <c r="C35" s="2" t="s">
        <v>9</v>
      </c>
      <c r="D35" s="3"/>
    </row>
    <row r="36" spans="1:4" ht="14.4" x14ac:dyDescent="0.3">
      <c r="A36" s="2" t="s">
        <v>63</v>
      </c>
      <c r="B36" s="2" t="s">
        <v>27</v>
      </c>
      <c r="C36" s="2" t="s">
        <v>9</v>
      </c>
      <c r="D36" s="3"/>
    </row>
    <row r="37" spans="1:4" ht="14.4" x14ac:dyDescent="0.3">
      <c r="A37" s="2" t="s">
        <v>64</v>
      </c>
      <c r="B37" s="2" t="s">
        <v>27</v>
      </c>
      <c r="C37" s="2" t="s">
        <v>9</v>
      </c>
      <c r="D37" s="3"/>
    </row>
    <row r="38" spans="1:4" ht="14.4" x14ac:dyDescent="0.3">
      <c r="A38" s="2" t="s">
        <v>65</v>
      </c>
      <c r="B38" s="2" t="s">
        <v>27</v>
      </c>
      <c r="C38" s="2" t="s">
        <v>9</v>
      </c>
      <c r="D38" s="3"/>
    </row>
    <row r="39" spans="1:4" ht="14.4" x14ac:dyDescent="0.3">
      <c r="A39" s="2" t="s">
        <v>41</v>
      </c>
      <c r="B39" s="2" t="s">
        <v>27</v>
      </c>
      <c r="C39" s="2" t="s">
        <v>13</v>
      </c>
      <c r="D39" s="3"/>
    </row>
    <row r="40" spans="1:4" ht="14.4" x14ac:dyDescent="0.3">
      <c r="A40" s="2" t="s">
        <v>41</v>
      </c>
      <c r="B40" s="2" t="s">
        <v>29</v>
      </c>
      <c r="C40" s="2" t="s">
        <v>13</v>
      </c>
      <c r="D40" s="3"/>
    </row>
    <row r="41" spans="1:4" ht="14.4" x14ac:dyDescent="0.3">
      <c r="A41" s="2" t="s">
        <v>66</v>
      </c>
      <c r="B41" s="2" t="s">
        <v>29</v>
      </c>
      <c r="C41" s="2" t="s">
        <v>9</v>
      </c>
      <c r="D41" s="3"/>
    </row>
    <row r="42" spans="1:4" ht="14.4" x14ac:dyDescent="0.3">
      <c r="A42" s="2" t="s">
        <v>67</v>
      </c>
      <c r="B42" s="2" t="s">
        <v>29</v>
      </c>
      <c r="C42" s="2" t="s">
        <v>3</v>
      </c>
      <c r="D42" s="3"/>
    </row>
    <row r="43" spans="1:4" ht="14.4" x14ac:dyDescent="0.3">
      <c r="A43" s="2" t="s">
        <v>68</v>
      </c>
      <c r="B43" s="2" t="s">
        <v>29</v>
      </c>
      <c r="C43" s="2" t="s">
        <v>3</v>
      </c>
      <c r="D43" s="3"/>
    </row>
    <row r="44" spans="1:4" ht="14.4" x14ac:dyDescent="0.3">
      <c r="A44" s="2" t="s">
        <v>69</v>
      </c>
      <c r="B44" s="2" t="s">
        <v>29</v>
      </c>
      <c r="C44" s="2" t="s">
        <v>7</v>
      </c>
      <c r="D44" s="3"/>
    </row>
    <row r="45" spans="1:4" ht="14.4" x14ac:dyDescent="0.3">
      <c r="A45" s="2" t="s">
        <v>70</v>
      </c>
      <c r="B45" s="2" t="s">
        <v>29</v>
      </c>
      <c r="C45" s="2" t="s">
        <v>7</v>
      </c>
      <c r="D45" s="3"/>
    </row>
    <row r="46" spans="1:4" ht="14.4" x14ac:dyDescent="0.3">
      <c r="A46" s="2" t="s">
        <v>41</v>
      </c>
      <c r="B46" s="2" t="s">
        <v>30</v>
      </c>
      <c r="C46" s="2" t="s">
        <v>36</v>
      </c>
      <c r="D46" s="3"/>
    </row>
    <row r="47" spans="1:4" ht="14.4" x14ac:dyDescent="0.3">
      <c r="A47" s="2" t="s">
        <v>71</v>
      </c>
      <c r="B47" s="2" t="s">
        <v>30</v>
      </c>
      <c r="C47" s="2" t="s">
        <v>36</v>
      </c>
      <c r="D47" s="3"/>
    </row>
    <row r="48" spans="1:4" ht="14.4" x14ac:dyDescent="0.3">
      <c r="A48" s="3"/>
      <c r="B48" s="3"/>
      <c r="C48" s="3"/>
      <c r="D4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27"/>
  <sheetViews>
    <sheetView workbookViewId="0">
      <pane ySplit="1" topLeftCell="A2" activePane="bottomLeft" state="frozen"/>
      <selection pane="bottomLeft" activeCell="C4" sqref="C4"/>
    </sheetView>
  </sheetViews>
  <sheetFormatPr baseColWidth="10" defaultColWidth="12.6640625" defaultRowHeight="15.75" customHeight="1" x14ac:dyDescent="0.25"/>
  <cols>
    <col min="1" max="1" width="26" customWidth="1"/>
    <col min="2" max="3" width="23.6640625" customWidth="1"/>
    <col min="4" max="4" width="18.33203125" customWidth="1"/>
  </cols>
  <sheetData>
    <row r="1" spans="1:5" ht="15.75" customHeight="1" x14ac:dyDescent="0.3">
      <c r="A1" s="1" t="s">
        <v>72</v>
      </c>
      <c r="B1" s="1" t="s">
        <v>73</v>
      </c>
      <c r="C1" s="1" t="s">
        <v>74</v>
      </c>
      <c r="D1" s="1" t="s">
        <v>75</v>
      </c>
      <c r="E1" s="4"/>
    </row>
    <row r="2" spans="1:5" ht="15.75" customHeight="1" x14ac:dyDescent="0.3">
      <c r="A2" s="2" t="s">
        <v>76</v>
      </c>
      <c r="B2" s="2" t="s">
        <v>77</v>
      </c>
      <c r="C2" s="2" t="s">
        <v>78</v>
      </c>
      <c r="D2" s="2" t="s">
        <v>79</v>
      </c>
      <c r="E2" s="3"/>
    </row>
    <row r="3" spans="1:5" ht="15.75" customHeight="1" x14ac:dyDescent="0.3">
      <c r="A3" s="2" t="s">
        <v>80</v>
      </c>
      <c r="B3" s="2" t="s">
        <v>81</v>
      </c>
      <c r="C3" s="2" t="s">
        <v>78</v>
      </c>
      <c r="D3" s="2" t="s">
        <v>79</v>
      </c>
      <c r="E3" s="3"/>
    </row>
    <row r="4" spans="1:5" ht="15.75" customHeight="1" x14ac:dyDescent="0.3">
      <c r="A4" s="2" t="s">
        <v>82</v>
      </c>
      <c r="B4" s="2" t="s">
        <v>83</v>
      </c>
      <c r="C4" s="2" t="s">
        <v>84</v>
      </c>
      <c r="D4" s="2" t="s">
        <v>79</v>
      </c>
      <c r="E4" s="3"/>
    </row>
    <row r="5" spans="1:5" ht="15.75" customHeight="1" x14ac:dyDescent="0.3">
      <c r="A5" s="2" t="s">
        <v>85</v>
      </c>
      <c r="B5" s="2" t="s">
        <v>86</v>
      </c>
      <c r="C5" s="2" t="s">
        <v>87</v>
      </c>
      <c r="D5" s="2" t="s">
        <v>79</v>
      </c>
      <c r="E5" s="3"/>
    </row>
    <row r="6" spans="1:5" ht="15.75" customHeight="1" x14ac:dyDescent="0.3">
      <c r="A6" s="2" t="s">
        <v>88</v>
      </c>
      <c r="B6" s="2" t="s">
        <v>77</v>
      </c>
      <c r="C6" s="2" t="s">
        <v>78</v>
      </c>
      <c r="D6" s="2" t="s">
        <v>79</v>
      </c>
      <c r="E6" s="3"/>
    </row>
    <row r="7" spans="1:5" ht="15.75" customHeight="1" x14ac:dyDescent="0.3">
      <c r="A7" s="2" t="s">
        <v>89</v>
      </c>
      <c r="B7" s="2" t="s">
        <v>77</v>
      </c>
      <c r="C7" s="2" t="s">
        <v>78</v>
      </c>
      <c r="D7" s="2" t="s">
        <v>79</v>
      </c>
      <c r="E7" s="3"/>
    </row>
    <row r="8" spans="1:5" ht="15.75" customHeight="1" x14ac:dyDescent="0.3">
      <c r="A8" s="2" t="s">
        <v>90</v>
      </c>
      <c r="B8" s="2" t="s">
        <v>81</v>
      </c>
      <c r="C8" s="2" t="s">
        <v>78</v>
      </c>
      <c r="D8" s="2" t="s">
        <v>79</v>
      </c>
      <c r="E8" s="3"/>
    </row>
    <row r="9" spans="1:5" ht="15.75" customHeight="1" x14ac:dyDescent="0.3">
      <c r="A9" s="2" t="s">
        <v>91</v>
      </c>
      <c r="B9" s="2" t="s">
        <v>81</v>
      </c>
      <c r="C9" s="2" t="s">
        <v>78</v>
      </c>
      <c r="D9" s="2" t="s">
        <v>79</v>
      </c>
      <c r="E9" s="3"/>
    </row>
    <row r="10" spans="1:5" ht="15.75" customHeight="1" x14ac:dyDescent="0.3">
      <c r="A10" s="2" t="s">
        <v>92</v>
      </c>
      <c r="B10" s="2" t="s">
        <v>83</v>
      </c>
      <c r="C10" s="2" t="s">
        <v>84</v>
      </c>
      <c r="D10" s="2" t="s">
        <v>79</v>
      </c>
      <c r="E10" s="3"/>
    </row>
    <row r="11" spans="1:5" ht="15.75" customHeight="1" x14ac:dyDescent="0.3">
      <c r="A11" s="2" t="s">
        <v>82</v>
      </c>
      <c r="B11" s="2" t="s">
        <v>83</v>
      </c>
      <c r="C11" s="2" t="s">
        <v>93</v>
      </c>
      <c r="D11" s="2" t="s">
        <v>79</v>
      </c>
      <c r="E11" s="3"/>
    </row>
    <row r="12" spans="1:5" ht="15.75" customHeight="1" x14ac:dyDescent="0.3">
      <c r="A12" s="2" t="s">
        <v>94</v>
      </c>
      <c r="B12" s="2" t="s">
        <v>83</v>
      </c>
      <c r="C12" s="2" t="s">
        <v>84</v>
      </c>
      <c r="D12" s="2" t="s">
        <v>79</v>
      </c>
      <c r="E12" s="3"/>
    </row>
    <row r="13" spans="1:5" ht="15.75" customHeight="1" x14ac:dyDescent="0.3">
      <c r="A13" s="2" t="s">
        <v>95</v>
      </c>
      <c r="B13" s="2" t="s">
        <v>83</v>
      </c>
      <c r="C13" s="2" t="s">
        <v>84</v>
      </c>
      <c r="D13" s="2" t="s">
        <v>79</v>
      </c>
      <c r="E13" s="3"/>
    </row>
    <row r="14" spans="1:5" ht="15.75" customHeight="1" x14ac:dyDescent="0.3">
      <c r="A14" s="2" t="s">
        <v>96</v>
      </c>
      <c r="B14" s="2" t="s">
        <v>86</v>
      </c>
      <c r="C14" s="2" t="s">
        <v>87</v>
      </c>
      <c r="D14" s="2" t="s">
        <v>79</v>
      </c>
      <c r="E14" s="3"/>
    </row>
    <row r="15" spans="1:5" ht="15.75" customHeight="1" x14ac:dyDescent="0.3">
      <c r="A15" s="2" t="s">
        <v>97</v>
      </c>
      <c r="B15" s="2" t="s">
        <v>86</v>
      </c>
      <c r="C15" s="2" t="s">
        <v>87</v>
      </c>
      <c r="D15" s="2" t="s">
        <v>79</v>
      </c>
      <c r="E15" s="3"/>
    </row>
    <row r="16" spans="1:5" ht="15.75" customHeight="1" x14ac:dyDescent="0.3">
      <c r="A16" s="2" t="s">
        <v>76</v>
      </c>
      <c r="B16" s="2" t="s">
        <v>86</v>
      </c>
      <c r="C16" s="2" t="s">
        <v>98</v>
      </c>
      <c r="D16" s="2" t="s">
        <v>99</v>
      </c>
      <c r="E16" s="3"/>
    </row>
    <row r="17" spans="1:5" ht="15.75" customHeight="1" x14ac:dyDescent="0.3">
      <c r="A17" s="2" t="s">
        <v>100</v>
      </c>
      <c r="B17" s="2" t="s">
        <v>86</v>
      </c>
      <c r="C17" s="2" t="s">
        <v>98</v>
      </c>
      <c r="D17" s="2" t="s">
        <v>99</v>
      </c>
      <c r="E17" s="3"/>
    </row>
    <row r="18" spans="1:5" ht="15.75" customHeight="1" x14ac:dyDescent="0.3">
      <c r="A18" s="2" t="s">
        <v>101</v>
      </c>
      <c r="B18" s="2" t="s">
        <v>81</v>
      </c>
      <c r="C18" s="2" t="s">
        <v>102</v>
      </c>
      <c r="D18" s="2" t="s">
        <v>99</v>
      </c>
      <c r="E18" s="3"/>
    </row>
    <row r="19" spans="1:5" ht="15.75" customHeight="1" x14ac:dyDescent="0.3">
      <c r="A19" s="2" t="s">
        <v>90</v>
      </c>
      <c r="B19" s="2" t="s">
        <v>81</v>
      </c>
      <c r="C19" s="2" t="s">
        <v>102</v>
      </c>
      <c r="D19" s="2" t="s">
        <v>99</v>
      </c>
      <c r="E19" s="3"/>
    </row>
    <row r="20" spans="1:5" ht="15.75" customHeight="1" x14ac:dyDescent="0.3">
      <c r="A20" s="2" t="s">
        <v>91</v>
      </c>
      <c r="B20" s="2" t="s">
        <v>81</v>
      </c>
      <c r="C20" s="2" t="s">
        <v>102</v>
      </c>
      <c r="D20" s="2" t="s">
        <v>99</v>
      </c>
      <c r="E20" s="3"/>
    </row>
    <row r="21" spans="1:5" ht="15.75" customHeight="1" x14ac:dyDescent="0.3">
      <c r="A21" s="2" t="s">
        <v>100</v>
      </c>
      <c r="B21" s="2" t="s">
        <v>86</v>
      </c>
      <c r="C21" s="2" t="s">
        <v>98</v>
      </c>
      <c r="D21" s="2" t="s">
        <v>103</v>
      </c>
      <c r="E21" s="3"/>
    </row>
    <row r="22" spans="1:5" ht="15.75" customHeight="1" x14ac:dyDescent="0.3">
      <c r="A22" s="2" t="s">
        <v>88</v>
      </c>
      <c r="B22" s="2" t="s">
        <v>77</v>
      </c>
      <c r="C22" s="2" t="s">
        <v>104</v>
      </c>
      <c r="D22" s="2" t="s">
        <v>103</v>
      </c>
      <c r="E22" s="3"/>
    </row>
    <row r="23" spans="1:5" ht="15.75" customHeight="1" x14ac:dyDescent="0.3">
      <c r="A23" s="2" t="s">
        <v>89</v>
      </c>
      <c r="B23" s="2" t="s">
        <v>77</v>
      </c>
      <c r="C23" s="2" t="s">
        <v>104</v>
      </c>
      <c r="D23" s="2" t="s">
        <v>103</v>
      </c>
      <c r="E23" s="3"/>
    </row>
    <row r="24" spans="1:5" ht="15.75" customHeight="1" x14ac:dyDescent="0.3">
      <c r="A24" s="2" t="s">
        <v>105</v>
      </c>
      <c r="B24" s="2" t="s">
        <v>77</v>
      </c>
      <c r="C24" s="2" t="s">
        <v>104</v>
      </c>
      <c r="D24" s="2" t="s">
        <v>103</v>
      </c>
      <c r="E24" s="3"/>
    </row>
    <row r="25" spans="1:5" ht="15.75" customHeight="1" x14ac:dyDescent="0.3">
      <c r="A25" s="2"/>
      <c r="B25" s="2"/>
      <c r="C25" s="2"/>
      <c r="D25" s="3"/>
      <c r="E25" s="3"/>
    </row>
    <row r="26" spans="1:5" ht="15.75" customHeight="1" x14ac:dyDescent="0.3">
      <c r="A26" s="2"/>
      <c r="B26" s="2"/>
      <c r="C26" s="2"/>
      <c r="D26" s="3"/>
      <c r="E26" s="3"/>
    </row>
    <row r="27" spans="1:5" ht="15.75" customHeight="1" x14ac:dyDescent="0.3">
      <c r="A27" s="2"/>
      <c r="B27" s="2"/>
      <c r="C27" s="2"/>
      <c r="D27" s="3"/>
      <c r="E27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86"/>
  <sheetViews>
    <sheetView tabSelected="1" workbookViewId="0">
      <pane ySplit="1" topLeftCell="A2" activePane="bottomLeft" state="frozen"/>
      <selection pane="bottomLeft" activeCell="E11" sqref="E11"/>
    </sheetView>
  </sheetViews>
  <sheetFormatPr baseColWidth="10" defaultColWidth="12.6640625" defaultRowHeight="15.75" customHeight="1" x14ac:dyDescent="0.25"/>
  <cols>
    <col min="1" max="1" width="17.88671875" customWidth="1"/>
    <col min="2" max="2" width="26" customWidth="1"/>
    <col min="3" max="5" width="23.6640625" customWidth="1"/>
    <col min="6" max="6" width="12.21875" customWidth="1"/>
    <col min="7" max="7" width="7.77734375" customWidth="1"/>
    <col min="8" max="8" width="15.21875" customWidth="1"/>
  </cols>
  <sheetData>
    <row r="1" spans="1:8" ht="15.75" customHeight="1" x14ac:dyDescent="0.3">
      <c r="A1" s="5" t="s">
        <v>106</v>
      </c>
      <c r="B1" s="1" t="s">
        <v>72</v>
      </c>
      <c r="C1" s="1" t="s">
        <v>74</v>
      </c>
      <c r="D1" s="1" t="s">
        <v>14</v>
      </c>
      <c r="E1" s="1" t="s">
        <v>31</v>
      </c>
      <c r="F1" s="6" t="s">
        <v>107</v>
      </c>
      <c r="G1" s="1" t="s">
        <v>108</v>
      </c>
      <c r="H1" s="6" t="s">
        <v>109</v>
      </c>
    </row>
    <row r="2" spans="1:8" ht="15.75" customHeight="1" x14ac:dyDescent="0.3">
      <c r="A2" s="7">
        <v>44806</v>
      </c>
      <c r="B2" s="2" t="s">
        <v>76</v>
      </c>
      <c r="C2" s="2" t="s">
        <v>78</v>
      </c>
      <c r="D2" s="2" t="s">
        <v>24</v>
      </c>
      <c r="E2" s="2" t="s">
        <v>32</v>
      </c>
      <c r="F2" s="8">
        <v>1560</v>
      </c>
      <c r="G2" s="2">
        <v>2</v>
      </c>
      <c r="H2" s="8">
        <f t="shared" ref="H2:H84" si="0">F2*G2</f>
        <v>3120</v>
      </c>
    </row>
    <row r="3" spans="1:8" ht="15.75" customHeight="1" x14ac:dyDescent="0.3">
      <c r="A3" s="7">
        <v>44566</v>
      </c>
      <c r="B3" s="2" t="s">
        <v>80</v>
      </c>
      <c r="C3" s="2" t="s">
        <v>78</v>
      </c>
      <c r="D3" s="2" t="s">
        <v>24</v>
      </c>
      <c r="E3" s="2" t="s">
        <v>32</v>
      </c>
      <c r="F3" s="8">
        <v>250</v>
      </c>
      <c r="G3" s="2">
        <v>7</v>
      </c>
      <c r="H3" s="8">
        <f t="shared" si="0"/>
        <v>1750</v>
      </c>
    </row>
    <row r="4" spans="1:8" ht="15.75" customHeight="1" x14ac:dyDescent="0.3">
      <c r="A4" s="7">
        <v>44714</v>
      </c>
      <c r="B4" s="2" t="s">
        <v>82</v>
      </c>
      <c r="C4" s="2" t="s">
        <v>84</v>
      </c>
      <c r="D4" s="2" t="s">
        <v>24</v>
      </c>
      <c r="E4" s="2" t="s">
        <v>32</v>
      </c>
      <c r="F4" s="8">
        <v>2895</v>
      </c>
      <c r="G4" s="2">
        <v>8</v>
      </c>
      <c r="H4" s="8">
        <f t="shared" si="0"/>
        <v>23160</v>
      </c>
    </row>
    <row r="5" spans="1:8" ht="15.75" customHeight="1" x14ac:dyDescent="0.3">
      <c r="A5" s="7">
        <v>44745</v>
      </c>
      <c r="B5" s="2" t="s">
        <v>85</v>
      </c>
      <c r="C5" s="2" t="s">
        <v>87</v>
      </c>
      <c r="D5" s="2" t="s">
        <v>24</v>
      </c>
      <c r="E5" s="2" t="s">
        <v>32</v>
      </c>
      <c r="F5" s="8">
        <v>4789</v>
      </c>
      <c r="G5" s="2">
        <v>6</v>
      </c>
      <c r="H5" s="8">
        <f t="shared" si="0"/>
        <v>28734</v>
      </c>
    </row>
    <row r="6" spans="1:8" ht="15.75" customHeight="1" x14ac:dyDescent="0.3">
      <c r="A6" s="7">
        <v>44780</v>
      </c>
      <c r="B6" s="2" t="s">
        <v>88</v>
      </c>
      <c r="C6" s="2" t="s">
        <v>78</v>
      </c>
      <c r="D6" s="2" t="s">
        <v>24</v>
      </c>
      <c r="E6" s="2" t="s">
        <v>32</v>
      </c>
      <c r="F6" s="8">
        <v>2500</v>
      </c>
      <c r="G6" s="2">
        <v>2</v>
      </c>
      <c r="H6" s="8">
        <f t="shared" si="0"/>
        <v>5000</v>
      </c>
    </row>
    <row r="7" spans="1:8" ht="15.75" customHeight="1" x14ac:dyDescent="0.3">
      <c r="A7" s="7">
        <v>44780</v>
      </c>
      <c r="B7" s="2" t="s">
        <v>89</v>
      </c>
      <c r="C7" s="2" t="s">
        <v>78</v>
      </c>
      <c r="D7" s="2" t="s">
        <v>24</v>
      </c>
      <c r="E7" s="2" t="s">
        <v>32</v>
      </c>
      <c r="F7" s="8">
        <v>3900</v>
      </c>
      <c r="G7" s="2">
        <v>1</v>
      </c>
      <c r="H7" s="8">
        <f t="shared" si="0"/>
        <v>3900</v>
      </c>
    </row>
    <row r="8" spans="1:8" ht="15.75" customHeight="1" x14ac:dyDescent="0.3">
      <c r="A8" s="7">
        <v>44719</v>
      </c>
      <c r="B8" s="2" t="s">
        <v>90</v>
      </c>
      <c r="C8" s="2" t="s">
        <v>78</v>
      </c>
      <c r="D8" s="2" t="s">
        <v>24</v>
      </c>
      <c r="E8" s="2" t="s">
        <v>32</v>
      </c>
      <c r="F8" s="8">
        <v>1597</v>
      </c>
      <c r="G8" s="2">
        <v>7</v>
      </c>
      <c r="H8" s="8">
        <f t="shared" si="0"/>
        <v>11179</v>
      </c>
    </row>
    <row r="9" spans="1:8" ht="15.75" customHeight="1" x14ac:dyDescent="0.3">
      <c r="A9" s="7">
        <v>44659</v>
      </c>
      <c r="B9" s="2" t="s">
        <v>91</v>
      </c>
      <c r="C9" s="2" t="s">
        <v>78</v>
      </c>
      <c r="D9" s="2" t="s">
        <v>24</v>
      </c>
      <c r="E9" s="2" t="s">
        <v>32</v>
      </c>
      <c r="F9" s="8">
        <v>740</v>
      </c>
      <c r="G9" s="2">
        <v>8</v>
      </c>
      <c r="H9" s="8">
        <f t="shared" si="0"/>
        <v>5920</v>
      </c>
    </row>
    <row r="10" spans="1:8" ht="15.75" customHeight="1" x14ac:dyDescent="0.3">
      <c r="A10" s="7">
        <v>44598</v>
      </c>
      <c r="B10" s="2" t="s">
        <v>92</v>
      </c>
      <c r="C10" s="2" t="s">
        <v>84</v>
      </c>
      <c r="D10" s="2" t="s">
        <v>24</v>
      </c>
      <c r="E10" s="2" t="s">
        <v>32</v>
      </c>
      <c r="F10" s="8">
        <v>455.8</v>
      </c>
      <c r="G10" s="2">
        <v>5</v>
      </c>
      <c r="H10" s="8">
        <f t="shared" si="0"/>
        <v>2279</v>
      </c>
    </row>
    <row r="11" spans="1:8" ht="15.75" customHeight="1" x14ac:dyDescent="0.3">
      <c r="A11" s="7">
        <v>44564</v>
      </c>
      <c r="B11" s="2" t="s">
        <v>82</v>
      </c>
      <c r="C11" s="2" t="s">
        <v>93</v>
      </c>
      <c r="D11" s="2" t="s">
        <v>24</v>
      </c>
      <c r="E11" s="2" t="s">
        <v>32</v>
      </c>
      <c r="F11" s="8">
        <v>785</v>
      </c>
      <c r="G11" s="2">
        <v>3</v>
      </c>
      <c r="H11" s="8">
        <f t="shared" si="0"/>
        <v>2355</v>
      </c>
    </row>
    <row r="12" spans="1:8" ht="15.75" customHeight="1" x14ac:dyDescent="0.3">
      <c r="A12" s="7">
        <v>44917</v>
      </c>
      <c r="B12" s="2" t="s">
        <v>94</v>
      </c>
      <c r="C12" s="2" t="s">
        <v>84</v>
      </c>
      <c r="D12" s="2" t="s">
        <v>24</v>
      </c>
      <c r="E12" s="2" t="s">
        <v>32</v>
      </c>
      <c r="F12" s="8">
        <v>10554</v>
      </c>
      <c r="G12" s="2">
        <v>4</v>
      </c>
      <c r="H12" s="8">
        <f t="shared" si="0"/>
        <v>42216</v>
      </c>
    </row>
    <row r="13" spans="1:8" ht="15.75" customHeight="1" x14ac:dyDescent="0.3">
      <c r="A13" s="7">
        <v>44869</v>
      </c>
      <c r="B13" s="2" t="s">
        <v>95</v>
      </c>
      <c r="C13" s="2" t="s">
        <v>84</v>
      </c>
      <c r="D13" s="2" t="s">
        <v>24</v>
      </c>
      <c r="E13" s="2" t="s">
        <v>32</v>
      </c>
      <c r="F13" s="8">
        <v>15689</v>
      </c>
      <c r="G13" s="2">
        <v>10</v>
      </c>
      <c r="H13" s="8">
        <f t="shared" si="0"/>
        <v>156890</v>
      </c>
    </row>
    <row r="14" spans="1:8" ht="15.75" customHeight="1" x14ac:dyDescent="0.3">
      <c r="A14" s="7">
        <v>44881</v>
      </c>
      <c r="B14" s="2" t="s">
        <v>96</v>
      </c>
      <c r="C14" s="2" t="s">
        <v>87</v>
      </c>
      <c r="D14" s="2" t="s">
        <v>24</v>
      </c>
      <c r="E14" s="2" t="s">
        <v>32</v>
      </c>
      <c r="F14" s="8">
        <v>25000</v>
      </c>
      <c r="G14" s="2">
        <v>1</v>
      </c>
      <c r="H14" s="8">
        <f t="shared" si="0"/>
        <v>25000</v>
      </c>
    </row>
    <row r="15" spans="1:8" ht="15.75" customHeight="1" x14ac:dyDescent="0.3">
      <c r="A15" s="7">
        <v>44707</v>
      </c>
      <c r="B15" s="2" t="s">
        <v>97</v>
      </c>
      <c r="C15" s="2" t="s">
        <v>87</v>
      </c>
      <c r="D15" s="2" t="s">
        <v>24</v>
      </c>
      <c r="E15" s="2" t="s">
        <v>32</v>
      </c>
      <c r="F15" s="8">
        <v>26700</v>
      </c>
      <c r="G15" s="2">
        <v>1</v>
      </c>
      <c r="H15" s="8">
        <f t="shared" si="0"/>
        <v>26700</v>
      </c>
    </row>
    <row r="16" spans="1:8" ht="15.75" customHeight="1" x14ac:dyDescent="0.3">
      <c r="A16" s="7">
        <v>44730</v>
      </c>
      <c r="B16" s="2" t="s">
        <v>90</v>
      </c>
      <c r="C16" s="2" t="s">
        <v>78</v>
      </c>
      <c r="D16" s="2" t="s">
        <v>24</v>
      </c>
      <c r="E16" s="2" t="s">
        <v>33</v>
      </c>
      <c r="F16" s="8">
        <v>1597</v>
      </c>
      <c r="G16" s="2">
        <v>7</v>
      </c>
      <c r="H16" s="8">
        <f t="shared" si="0"/>
        <v>11179</v>
      </c>
    </row>
    <row r="17" spans="1:8" ht="15.75" customHeight="1" x14ac:dyDescent="0.3">
      <c r="A17" s="7">
        <v>44671</v>
      </c>
      <c r="B17" s="2" t="s">
        <v>85</v>
      </c>
      <c r="C17" s="2" t="s">
        <v>87</v>
      </c>
      <c r="D17" s="2" t="s">
        <v>24</v>
      </c>
      <c r="E17" s="2" t="s">
        <v>33</v>
      </c>
      <c r="F17" s="8">
        <v>4500</v>
      </c>
      <c r="G17" s="2">
        <v>1</v>
      </c>
      <c r="H17" s="8">
        <f t="shared" si="0"/>
        <v>4500</v>
      </c>
    </row>
    <row r="18" spans="1:8" ht="15.75" customHeight="1" x14ac:dyDescent="0.3">
      <c r="A18" s="7">
        <v>44681</v>
      </c>
      <c r="B18" s="2" t="s">
        <v>85</v>
      </c>
      <c r="C18" s="2" t="s">
        <v>87</v>
      </c>
      <c r="D18" s="2" t="s">
        <v>24</v>
      </c>
      <c r="E18" s="2" t="s">
        <v>33</v>
      </c>
      <c r="F18" s="8">
        <v>4809</v>
      </c>
      <c r="G18" s="2">
        <v>2</v>
      </c>
      <c r="H18" s="8">
        <f t="shared" si="0"/>
        <v>9618</v>
      </c>
    </row>
    <row r="19" spans="1:8" ht="15.75" customHeight="1" x14ac:dyDescent="0.3">
      <c r="A19" s="7">
        <v>44907</v>
      </c>
      <c r="B19" s="2" t="s">
        <v>90</v>
      </c>
      <c r="C19" s="2" t="s">
        <v>78</v>
      </c>
      <c r="D19" s="2" t="s">
        <v>24</v>
      </c>
      <c r="E19" s="2" t="s">
        <v>33</v>
      </c>
      <c r="F19" s="8">
        <v>1750</v>
      </c>
      <c r="G19" s="2">
        <v>1</v>
      </c>
      <c r="H19" s="8">
        <f t="shared" si="0"/>
        <v>1750</v>
      </c>
    </row>
    <row r="20" spans="1:8" ht="15.75" customHeight="1" x14ac:dyDescent="0.3">
      <c r="A20" s="7">
        <v>44778</v>
      </c>
      <c r="B20" s="2" t="s">
        <v>85</v>
      </c>
      <c r="C20" s="2" t="s">
        <v>87</v>
      </c>
      <c r="D20" s="2" t="s">
        <v>24</v>
      </c>
      <c r="E20" s="2" t="s">
        <v>35</v>
      </c>
      <c r="F20" s="8">
        <v>4700</v>
      </c>
      <c r="G20" s="2">
        <v>3</v>
      </c>
      <c r="H20" s="8">
        <f t="shared" si="0"/>
        <v>14100</v>
      </c>
    </row>
    <row r="21" spans="1:8" ht="15.75" customHeight="1" x14ac:dyDescent="0.3">
      <c r="A21" s="7">
        <v>44812</v>
      </c>
      <c r="B21" s="2" t="s">
        <v>88</v>
      </c>
      <c r="C21" s="2" t="s">
        <v>78</v>
      </c>
      <c r="D21" s="2" t="s">
        <v>24</v>
      </c>
      <c r="E21" s="2" t="s">
        <v>35</v>
      </c>
      <c r="F21" s="8">
        <v>2950</v>
      </c>
      <c r="G21" s="2">
        <v>4</v>
      </c>
      <c r="H21" s="8">
        <f t="shared" si="0"/>
        <v>11800</v>
      </c>
    </row>
    <row r="22" spans="1:8" ht="15.75" customHeight="1" x14ac:dyDescent="0.3">
      <c r="A22" s="7">
        <v>44610</v>
      </c>
      <c r="B22" s="2" t="s">
        <v>90</v>
      </c>
      <c r="C22" s="2" t="s">
        <v>78</v>
      </c>
      <c r="D22" s="2" t="s">
        <v>24</v>
      </c>
      <c r="E22" s="2" t="s">
        <v>38</v>
      </c>
      <c r="F22" s="8">
        <v>1487</v>
      </c>
      <c r="G22" s="2">
        <v>2</v>
      </c>
      <c r="H22" s="8">
        <f t="shared" si="0"/>
        <v>2974</v>
      </c>
    </row>
    <row r="23" spans="1:8" ht="15.75" customHeight="1" x14ac:dyDescent="0.3">
      <c r="A23" s="7">
        <v>44674</v>
      </c>
      <c r="B23" s="2" t="s">
        <v>91</v>
      </c>
      <c r="C23" s="2" t="s">
        <v>78</v>
      </c>
      <c r="D23" s="2" t="s">
        <v>24</v>
      </c>
      <c r="E23" s="2" t="s">
        <v>38</v>
      </c>
      <c r="F23" s="8">
        <v>756</v>
      </c>
      <c r="G23" s="2">
        <v>1</v>
      </c>
      <c r="H23" s="8">
        <f t="shared" si="0"/>
        <v>756</v>
      </c>
    </row>
    <row r="24" spans="1:8" ht="15.75" customHeight="1" x14ac:dyDescent="0.3">
      <c r="A24" s="7">
        <v>44702</v>
      </c>
      <c r="B24" s="2" t="s">
        <v>92</v>
      </c>
      <c r="C24" s="2" t="s">
        <v>84</v>
      </c>
      <c r="D24" s="2" t="s">
        <v>24</v>
      </c>
      <c r="E24" s="2" t="s">
        <v>38</v>
      </c>
      <c r="F24" s="8">
        <v>455.8</v>
      </c>
      <c r="G24" s="2">
        <v>4</v>
      </c>
      <c r="H24" s="8">
        <f t="shared" si="0"/>
        <v>1823.2</v>
      </c>
    </row>
    <row r="25" spans="1:8" ht="15.75" customHeight="1" x14ac:dyDescent="0.3">
      <c r="A25" s="7">
        <v>44576</v>
      </c>
      <c r="B25" s="2" t="s">
        <v>82</v>
      </c>
      <c r="C25" s="2" t="s">
        <v>93</v>
      </c>
      <c r="D25" s="2" t="s">
        <v>24</v>
      </c>
      <c r="E25" s="2" t="s">
        <v>39</v>
      </c>
      <c r="F25" s="8">
        <v>785</v>
      </c>
      <c r="G25" s="2">
        <v>3</v>
      </c>
      <c r="H25" s="8">
        <f t="shared" si="0"/>
        <v>2355</v>
      </c>
    </row>
    <row r="26" spans="1:8" ht="15.75" customHeight="1" x14ac:dyDescent="0.3">
      <c r="A26" s="7">
        <v>44729</v>
      </c>
      <c r="B26" s="2" t="s">
        <v>88</v>
      </c>
      <c r="C26" s="2" t="s">
        <v>78</v>
      </c>
      <c r="D26" s="2" t="s">
        <v>16</v>
      </c>
      <c r="E26" s="2" t="s">
        <v>42</v>
      </c>
      <c r="F26" s="8">
        <v>2900</v>
      </c>
      <c r="G26" s="2">
        <v>1</v>
      </c>
      <c r="H26" s="8">
        <f t="shared" si="0"/>
        <v>2900</v>
      </c>
    </row>
    <row r="27" spans="1:8" ht="15.75" customHeight="1" x14ac:dyDescent="0.3">
      <c r="A27" s="7">
        <v>44849</v>
      </c>
      <c r="B27" s="2" t="s">
        <v>89</v>
      </c>
      <c r="C27" s="2" t="s">
        <v>78</v>
      </c>
      <c r="D27" s="2" t="s">
        <v>16</v>
      </c>
      <c r="E27" s="2" t="s">
        <v>42</v>
      </c>
      <c r="F27" s="8">
        <v>4100</v>
      </c>
      <c r="G27" s="2">
        <v>5</v>
      </c>
      <c r="H27" s="8">
        <f t="shared" si="0"/>
        <v>20500</v>
      </c>
    </row>
    <row r="28" spans="1:8" ht="15.75" customHeight="1" x14ac:dyDescent="0.3">
      <c r="A28" s="7">
        <v>44575</v>
      </c>
      <c r="B28" s="2" t="s">
        <v>90</v>
      </c>
      <c r="C28" s="2" t="s">
        <v>78</v>
      </c>
      <c r="D28" s="2" t="s">
        <v>16</v>
      </c>
      <c r="E28" s="2" t="s">
        <v>42</v>
      </c>
      <c r="F28" s="8">
        <v>1789</v>
      </c>
      <c r="G28" s="2">
        <v>2</v>
      </c>
      <c r="H28" s="8">
        <f t="shared" si="0"/>
        <v>3578</v>
      </c>
    </row>
    <row r="29" spans="1:8" ht="15.75" customHeight="1" x14ac:dyDescent="0.3">
      <c r="A29" s="7">
        <v>44891</v>
      </c>
      <c r="B29" s="2" t="s">
        <v>91</v>
      </c>
      <c r="C29" s="2" t="s">
        <v>78</v>
      </c>
      <c r="D29" s="2" t="s">
        <v>16</v>
      </c>
      <c r="E29" s="2" t="s">
        <v>42</v>
      </c>
      <c r="F29" s="8">
        <v>861</v>
      </c>
      <c r="G29" s="2">
        <v>15</v>
      </c>
      <c r="H29" s="8">
        <f t="shared" si="0"/>
        <v>12915</v>
      </c>
    </row>
    <row r="30" spans="1:8" ht="15.75" customHeight="1" x14ac:dyDescent="0.3">
      <c r="A30" s="9">
        <v>44917</v>
      </c>
      <c r="B30" s="10" t="s">
        <v>94</v>
      </c>
      <c r="C30" s="10" t="s">
        <v>84</v>
      </c>
      <c r="D30" s="2" t="s">
        <v>16</v>
      </c>
      <c r="E30" s="2" t="s">
        <v>43</v>
      </c>
      <c r="F30" s="11">
        <v>10000</v>
      </c>
      <c r="G30" s="12">
        <v>2</v>
      </c>
      <c r="H30" s="13">
        <f t="shared" si="0"/>
        <v>20000</v>
      </c>
    </row>
    <row r="31" spans="1:8" ht="14.4" x14ac:dyDescent="0.3">
      <c r="A31" s="9">
        <v>44730</v>
      </c>
      <c r="B31" s="10" t="s">
        <v>90</v>
      </c>
      <c r="C31" s="10" t="s">
        <v>78</v>
      </c>
      <c r="D31" s="2" t="s">
        <v>16</v>
      </c>
      <c r="E31" s="2" t="s">
        <v>43</v>
      </c>
      <c r="F31" s="11">
        <v>1800</v>
      </c>
      <c r="G31" s="12">
        <v>3</v>
      </c>
      <c r="H31" s="13">
        <f t="shared" si="0"/>
        <v>5400</v>
      </c>
    </row>
    <row r="32" spans="1:8" ht="14.4" x14ac:dyDescent="0.3">
      <c r="A32" s="7">
        <v>44812</v>
      </c>
      <c r="B32" s="2" t="s">
        <v>76</v>
      </c>
      <c r="C32" s="2" t="s">
        <v>78</v>
      </c>
      <c r="D32" s="2" t="s">
        <v>16</v>
      </c>
      <c r="E32" s="2" t="s">
        <v>44</v>
      </c>
      <c r="F32" s="8">
        <v>1560</v>
      </c>
      <c r="G32" s="2">
        <v>2</v>
      </c>
      <c r="H32" s="8">
        <f t="shared" si="0"/>
        <v>3120</v>
      </c>
    </row>
    <row r="33" spans="1:8" ht="14.4" x14ac:dyDescent="0.3">
      <c r="A33" s="7">
        <v>44759</v>
      </c>
      <c r="B33" s="2" t="s">
        <v>82</v>
      </c>
      <c r="C33" s="2" t="s">
        <v>93</v>
      </c>
      <c r="D33" s="2" t="s">
        <v>16</v>
      </c>
      <c r="E33" s="2" t="s">
        <v>44</v>
      </c>
      <c r="F33" s="8">
        <v>790</v>
      </c>
      <c r="G33" s="2">
        <v>4</v>
      </c>
      <c r="H33" s="8">
        <f t="shared" si="0"/>
        <v>3160</v>
      </c>
    </row>
    <row r="34" spans="1:8" ht="14.4" x14ac:dyDescent="0.3">
      <c r="A34" s="14">
        <v>44920</v>
      </c>
      <c r="B34" s="10" t="s">
        <v>94</v>
      </c>
      <c r="C34" s="10" t="s">
        <v>84</v>
      </c>
      <c r="D34" s="2" t="s">
        <v>16</v>
      </c>
      <c r="E34" s="2" t="s">
        <v>45</v>
      </c>
      <c r="F34" s="13">
        <v>10554</v>
      </c>
      <c r="G34" s="12">
        <v>25</v>
      </c>
      <c r="H34" s="13">
        <f t="shared" si="0"/>
        <v>263850</v>
      </c>
    </row>
    <row r="35" spans="1:8" ht="14.4" x14ac:dyDescent="0.3">
      <c r="A35" s="14">
        <v>44827</v>
      </c>
      <c r="B35" s="10" t="s">
        <v>96</v>
      </c>
      <c r="C35" s="10" t="s">
        <v>87</v>
      </c>
      <c r="D35" s="2" t="s">
        <v>16</v>
      </c>
      <c r="E35" s="2" t="s">
        <v>45</v>
      </c>
      <c r="F35" s="13">
        <v>25000</v>
      </c>
      <c r="G35" s="12">
        <v>2</v>
      </c>
      <c r="H35" s="13">
        <f t="shared" si="0"/>
        <v>50000</v>
      </c>
    </row>
    <row r="36" spans="1:8" ht="14.4" x14ac:dyDescent="0.3">
      <c r="A36" s="14">
        <v>44758</v>
      </c>
      <c r="B36" s="10" t="s">
        <v>97</v>
      </c>
      <c r="C36" s="10" t="s">
        <v>87</v>
      </c>
      <c r="D36" s="2" t="s">
        <v>16</v>
      </c>
      <c r="E36" s="2" t="s">
        <v>45</v>
      </c>
      <c r="F36" s="11">
        <v>27800</v>
      </c>
      <c r="G36" s="12">
        <v>3</v>
      </c>
      <c r="H36" s="13">
        <f t="shared" si="0"/>
        <v>83400</v>
      </c>
    </row>
    <row r="37" spans="1:8" ht="14.4" x14ac:dyDescent="0.3">
      <c r="A37" s="7">
        <v>44925</v>
      </c>
      <c r="B37" s="2" t="s">
        <v>90</v>
      </c>
      <c r="C37" s="2" t="s">
        <v>78</v>
      </c>
      <c r="D37" s="2" t="s">
        <v>16</v>
      </c>
      <c r="E37" s="2" t="s">
        <v>46</v>
      </c>
      <c r="F37" s="8">
        <v>1750</v>
      </c>
      <c r="G37" s="2">
        <v>2</v>
      </c>
      <c r="H37" s="8">
        <f t="shared" si="0"/>
        <v>3500</v>
      </c>
    </row>
    <row r="38" spans="1:8" ht="14.4" x14ac:dyDescent="0.3">
      <c r="A38" s="14">
        <v>44730</v>
      </c>
      <c r="B38" s="10" t="s">
        <v>94</v>
      </c>
      <c r="C38" s="10" t="s">
        <v>84</v>
      </c>
      <c r="D38" s="2" t="s">
        <v>18</v>
      </c>
      <c r="E38" s="15" t="s">
        <v>41</v>
      </c>
      <c r="F38" s="13">
        <v>10554</v>
      </c>
      <c r="G38" s="12">
        <v>2</v>
      </c>
      <c r="H38" s="13">
        <f t="shared" si="0"/>
        <v>21108</v>
      </c>
    </row>
    <row r="39" spans="1:8" ht="14.4" x14ac:dyDescent="0.3">
      <c r="A39" s="14">
        <v>44673</v>
      </c>
      <c r="B39" s="10" t="s">
        <v>96</v>
      </c>
      <c r="C39" s="10" t="s">
        <v>87</v>
      </c>
      <c r="D39" s="2" t="s">
        <v>18</v>
      </c>
      <c r="E39" s="15" t="s">
        <v>41</v>
      </c>
      <c r="F39" s="11">
        <v>24000</v>
      </c>
      <c r="G39" s="12">
        <v>3</v>
      </c>
      <c r="H39" s="13">
        <f t="shared" si="0"/>
        <v>72000</v>
      </c>
    </row>
    <row r="40" spans="1:8" ht="14.4" x14ac:dyDescent="0.3">
      <c r="A40" s="14">
        <v>44577</v>
      </c>
      <c r="B40" s="10" t="s">
        <v>82</v>
      </c>
      <c r="C40" s="10" t="s">
        <v>93</v>
      </c>
      <c r="D40" s="2" t="s">
        <v>19</v>
      </c>
      <c r="E40" s="2" t="s">
        <v>43</v>
      </c>
      <c r="F40" s="13">
        <v>785</v>
      </c>
      <c r="G40" s="16">
        <v>3</v>
      </c>
      <c r="H40" s="13">
        <f t="shared" si="0"/>
        <v>2355</v>
      </c>
    </row>
    <row r="41" spans="1:8" ht="14.4" x14ac:dyDescent="0.3">
      <c r="A41" s="14">
        <v>44835</v>
      </c>
      <c r="B41" s="10" t="s">
        <v>90</v>
      </c>
      <c r="C41" s="10" t="s">
        <v>78</v>
      </c>
      <c r="D41" s="2" t="s">
        <v>19</v>
      </c>
      <c r="E41" s="2" t="s">
        <v>43</v>
      </c>
      <c r="F41" s="13">
        <v>1750</v>
      </c>
      <c r="G41" s="12">
        <v>3</v>
      </c>
      <c r="H41" s="13">
        <f t="shared" si="0"/>
        <v>5250</v>
      </c>
    </row>
    <row r="42" spans="1:8" ht="14.4" x14ac:dyDescent="0.3">
      <c r="A42" s="14">
        <v>44646</v>
      </c>
      <c r="B42" s="10" t="s">
        <v>92</v>
      </c>
      <c r="C42" s="10" t="s">
        <v>84</v>
      </c>
      <c r="D42" s="2" t="s">
        <v>19</v>
      </c>
      <c r="E42" s="2" t="s">
        <v>43</v>
      </c>
      <c r="F42" s="11">
        <v>589</v>
      </c>
      <c r="G42" s="12">
        <v>5</v>
      </c>
      <c r="H42" s="13">
        <f t="shared" si="0"/>
        <v>2945</v>
      </c>
    </row>
    <row r="43" spans="1:8" ht="14.4" x14ac:dyDescent="0.3">
      <c r="A43" s="14">
        <v>44688</v>
      </c>
      <c r="B43" s="10" t="s">
        <v>76</v>
      </c>
      <c r="C43" s="10" t="s">
        <v>78</v>
      </c>
      <c r="D43" s="2" t="s">
        <v>19</v>
      </c>
      <c r="E43" s="2" t="s">
        <v>48</v>
      </c>
      <c r="F43" s="11">
        <v>1565</v>
      </c>
      <c r="G43" s="12">
        <v>1</v>
      </c>
      <c r="H43" s="13">
        <f t="shared" si="0"/>
        <v>1565</v>
      </c>
    </row>
    <row r="44" spans="1:8" ht="14.4" x14ac:dyDescent="0.3">
      <c r="A44" s="14">
        <v>44710</v>
      </c>
      <c r="B44" s="10" t="s">
        <v>88</v>
      </c>
      <c r="C44" s="10" t="s">
        <v>78</v>
      </c>
      <c r="D44" s="2" t="s">
        <v>19</v>
      </c>
      <c r="E44" s="2" t="s">
        <v>48</v>
      </c>
      <c r="F44" s="11">
        <v>2550</v>
      </c>
      <c r="G44" s="12">
        <v>1</v>
      </c>
      <c r="H44" s="13">
        <f t="shared" si="0"/>
        <v>2550</v>
      </c>
    </row>
    <row r="45" spans="1:8" ht="14.4" x14ac:dyDescent="0.3">
      <c r="A45" s="14">
        <v>44717</v>
      </c>
      <c r="B45" s="10" t="s">
        <v>85</v>
      </c>
      <c r="C45" s="10" t="s">
        <v>87</v>
      </c>
      <c r="D45" s="2" t="s">
        <v>19</v>
      </c>
      <c r="E45" s="2" t="s">
        <v>49</v>
      </c>
      <c r="F45" s="11">
        <v>4530</v>
      </c>
      <c r="G45" s="12">
        <v>2</v>
      </c>
      <c r="H45" s="13">
        <f t="shared" si="0"/>
        <v>9060</v>
      </c>
    </row>
    <row r="46" spans="1:8" ht="14.4" x14ac:dyDescent="0.3">
      <c r="A46" s="14">
        <v>44920</v>
      </c>
      <c r="B46" s="10" t="s">
        <v>90</v>
      </c>
      <c r="C46" s="10" t="s">
        <v>78</v>
      </c>
      <c r="D46" s="2" t="s">
        <v>19</v>
      </c>
      <c r="E46" s="2" t="s">
        <v>49</v>
      </c>
      <c r="F46" s="11">
        <v>1850</v>
      </c>
      <c r="G46" s="12">
        <v>6</v>
      </c>
      <c r="H46" s="13">
        <f t="shared" si="0"/>
        <v>11100</v>
      </c>
    </row>
    <row r="47" spans="1:8" ht="14.4" x14ac:dyDescent="0.3">
      <c r="A47" s="14">
        <v>44568</v>
      </c>
      <c r="B47" s="10" t="s">
        <v>91</v>
      </c>
      <c r="C47" s="10" t="s">
        <v>78</v>
      </c>
      <c r="D47" s="2" t="s">
        <v>19</v>
      </c>
      <c r="E47" s="2" t="s">
        <v>49</v>
      </c>
      <c r="F47" s="11">
        <v>840</v>
      </c>
      <c r="G47" s="12">
        <v>7</v>
      </c>
      <c r="H47" s="13">
        <f t="shared" si="0"/>
        <v>5880</v>
      </c>
    </row>
    <row r="48" spans="1:8" ht="14.4" x14ac:dyDescent="0.3">
      <c r="A48" s="14">
        <v>44874</v>
      </c>
      <c r="B48" s="10" t="s">
        <v>96</v>
      </c>
      <c r="C48" s="10" t="s">
        <v>87</v>
      </c>
      <c r="D48" s="15" t="s">
        <v>20</v>
      </c>
      <c r="E48" s="2" t="s">
        <v>54</v>
      </c>
      <c r="F48" s="11">
        <v>24500</v>
      </c>
      <c r="G48" s="16">
        <v>1</v>
      </c>
      <c r="H48" s="13">
        <f t="shared" si="0"/>
        <v>24500</v>
      </c>
    </row>
    <row r="49" spans="1:8" ht="14.4" x14ac:dyDescent="0.3">
      <c r="A49" s="14">
        <v>44744</v>
      </c>
      <c r="B49" s="10" t="s">
        <v>85</v>
      </c>
      <c r="C49" s="10" t="s">
        <v>87</v>
      </c>
      <c r="D49" s="15" t="s">
        <v>20</v>
      </c>
      <c r="E49" s="2" t="s">
        <v>54</v>
      </c>
      <c r="F49" s="11">
        <v>4400</v>
      </c>
      <c r="G49" s="12">
        <v>2</v>
      </c>
      <c r="H49" s="13">
        <f t="shared" si="0"/>
        <v>8800</v>
      </c>
    </row>
    <row r="50" spans="1:8" ht="14.4" x14ac:dyDescent="0.3">
      <c r="A50" s="14">
        <v>44742</v>
      </c>
      <c r="B50" s="10" t="s">
        <v>91</v>
      </c>
      <c r="C50" s="10" t="s">
        <v>78</v>
      </c>
      <c r="D50" s="15" t="s">
        <v>20</v>
      </c>
      <c r="E50" s="2" t="s">
        <v>54</v>
      </c>
      <c r="F50" s="13">
        <v>756</v>
      </c>
      <c r="G50" s="12">
        <v>4</v>
      </c>
      <c r="H50" s="13">
        <f t="shared" si="0"/>
        <v>3024</v>
      </c>
    </row>
    <row r="51" spans="1:8" ht="14.4" x14ac:dyDescent="0.3">
      <c r="A51" s="14">
        <v>44603</v>
      </c>
      <c r="B51" s="10" t="s">
        <v>91</v>
      </c>
      <c r="C51" s="10" t="s">
        <v>78</v>
      </c>
      <c r="D51" s="15" t="s">
        <v>20</v>
      </c>
      <c r="E51" s="2" t="s">
        <v>54</v>
      </c>
      <c r="F51" s="11">
        <v>863</v>
      </c>
      <c r="G51" s="12">
        <v>5</v>
      </c>
      <c r="H51" s="13">
        <f t="shared" si="0"/>
        <v>4315</v>
      </c>
    </row>
    <row r="52" spans="1:8" ht="14.4" x14ac:dyDescent="0.3">
      <c r="A52" s="14">
        <v>44859</v>
      </c>
      <c r="B52" s="10" t="s">
        <v>89</v>
      </c>
      <c r="C52" s="10" t="s">
        <v>78</v>
      </c>
      <c r="D52" s="15" t="s">
        <v>20</v>
      </c>
      <c r="E52" s="2" t="s">
        <v>55</v>
      </c>
      <c r="F52" s="13">
        <v>4100</v>
      </c>
      <c r="G52" s="16">
        <v>5</v>
      </c>
      <c r="H52" s="13">
        <f t="shared" si="0"/>
        <v>20500</v>
      </c>
    </row>
    <row r="53" spans="1:8" ht="14.4" x14ac:dyDescent="0.3">
      <c r="A53" s="14">
        <v>44820</v>
      </c>
      <c r="B53" s="10" t="s">
        <v>96</v>
      </c>
      <c r="C53" s="10" t="s">
        <v>87</v>
      </c>
      <c r="D53" s="15" t="s">
        <v>20</v>
      </c>
      <c r="E53" s="2" t="s">
        <v>55</v>
      </c>
      <c r="F53" s="11">
        <v>25250</v>
      </c>
      <c r="G53" s="16">
        <v>2</v>
      </c>
      <c r="H53" s="13">
        <f t="shared" si="0"/>
        <v>50500</v>
      </c>
    </row>
    <row r="54" spans="1:8" ht="14.4" x14ac:dyDescent="0.3">
      <c r="A54" s="14">
        <v>44791</v>
      </c>
      <c r="B54" s="10" t="s">
        <v>76</v>
      </c>
      <c r="C54" s="10" t="s">
        <v>78</v>
      </c>
      <c r="D54" s="15" t="s">
        <v>20</v>
      </c>
      <c r="E54" s="2" t="s">
        <v>55</v>
      </c>
      <c r="F54" s="11">
        <v>1600</v>
      </c>
      <c r="G54" s="12">
        <v>3</v>
      </c>
      <c r="H54" s="13">
        <f t="shared" si="0"/>
        <v>4800</v>
      </c>
    </row>
    <row r="55" spans="1:8" ht="14.4" x14ac:dyDescent="0.3">
      <c r="A55" s="14">
        <v>44723</v>
      </c>
      <c r="B55" s="10" t="s">
        <v>91</v>
      </c>
      <c r="C55" s="10" t="s">
        <v>78</v>
      </c>
      <c r="D55" s="2" t="s">
        <v>22</v>
      </c>
      <c r="E55" s="2" t="s">
        <v>56</v>
      </c>
      <c r="F55" s="13">
        <v>756</v>
      </c>
      <c r="G55" s="12">
        <v>5</v>
      </c>
      <c r="H55" s="13">
        <f t="shared" si="0"/>
        <v>3780</v>
      </c>
    </row>
    <row r="56" spans="1:8" ht="14.4" x14ac:dyDescent="0.3">
      <c r="A56" s="14">
        <v>44901</v>
      </c>
      <c r="B56" s="10" t="s">
        <v>90</v>
      </c>
      <c r="C56" s="10" t="s">
        <v>78</v>
      </c>
      <c r="D56" s="2" t="s">
        <v>22</v>
      </c>
      <c r="E56" s="2" t="s">
        <v>56</v>
      </c>
      <c r="F56" s="13">
        <v>1750</v>
      </c>
      <c r="G56" s="12">
        <v>8</v>
      </c>
      <c r="H56" s="13">
        <f t="shared" si="0"/>
        <v>14000</v>
      </c>
    </row>
    <row r="57" spans="1:8" ht="14.4" x14ac:dyDescent="0.3">
      <c r="A57" s="14">
        <v>44793</v>
      </c>
      <c r="B57" s="10" t="s">
        <v>88</v>
      </c>
      <c r="C57" s="10" t="s">
        <v>78</v>
      </c>
      <c r="D57" s="2" t="s">
        <v>22</v>
      </c>
      <c r="E57" s="2" t="s">
        <v>56</v>
      </c>
      <c r="F57" s="13">
        <v>2550</v>
      </c>
      <c r="G57" s="12">
        <v>7</v>
      </c>
      <c r="H57" s="13">
        <f t="shared" si="0"/>
        <v>17850</v>
      </c>
    </row>
    <row r="58" spans="1:8" ht="14.4" x14ac:dyDescent="0.3">
      <c r="A58" s="14">
        <v>44694</v>
      </c>
      <c r="B58" s="10" t="s">
        <v>76</v>
      </c>
      <c r="C58" s="10" t="s">
        <v>78</v>
      </c>
      <c r="D58" s="2" t="s">
        <v>22</v>
      </c>
      <c r="E58" s="2" t="s">
        <v>39</v>
      </c>
      <c r="F58" s="11">
        <v>1570</v>
      </c>
      <c r="G58" s="16">
        <v>2</v>
      </c>
      <c r="H58" s="13">
        <f t="shared" si="0"/>
        <v>3140</v>
      </c>
    </row>
    <row r="59" spans="1:8" ht="14.4" x14ac:dyDescent="0.3">
      <c r="A59" s="14">
        <v>44632</v>
      </c>
      <c r="B59" s="10" t="s">
        <v>80</v>
      </c>
      <c r="C59" s="10" t="s">
        <v>78</v>
      </c>
      <c r="D59" s="2" t="s">
        <v>22</v>
      </c>
      <c r="E59" s="2" t="s">
        <v>39</v>
      </c>
      <c r="F59" s="11">
        <v>255</v>
      </c>
      <c r="G59" s="12">
        <v>1</v>
      </c>
      <c r="H59" s="13">
        <f t="shared" si="0"/>
        <v>255</v>
      </c>
    </row>
    <row r="60" spans="1:8" ht="14.4" x14ac:dyDescent="0.3">
      <c r="A60" s="14">
        <v>44668</v>
      </c>
      <c r="B60" s="10" t="s">
        <v>85</v>
      </c>
      <c r="C60" s="10" t="s">
        <v>87</v>
      </c>
      <c r="D60" s="2" t="s">
        <v>22</v>
      </c>
      <c r="E60" s="2" t="s">
        <v>57</v>
      </c>
      <c r="F60" s="13">
        <v>4809</v>
      </c>
      <c r="G60" s="16">
        <v>2</v>
      </c>
      <c r="H60" s="13">
        <f t="shared" si="0"/>
        <v>9618</v>
      </c>
    </row>
    <row r="61" spans="1:8" ht="14.4" x14ac:dyDescent="0.3">
      <c r="A61" s="14">
        <v>44688</v>
      </c>
      <c r="B61" s="10" t="s">
        <v>90</v>
      </c>
      <c r="C61" s="10" t="s">
        <v>78</v>
      </c>
      <c r="D61" s="2" t="s">
        <v>22</v>
      </c>
      <c r="E61" s="2" t="s">
        <v>57</v>
      </c>
      <c r="F61" s="13">
        <v>1487</v>
      </c>
      <c r="G61" s="12">
        <v>1</v>
      </c>
      <c r="H61" s="13">
        <f t="shared" si="0"/>
        <v>1487</v>
      </c>
    </row>
    <row r="62" spans="1:8" ht="14.4" x14ac:dyDescent="0.3">
      <c r="A62" s="14">
        <v>44849</v>
      </c>
      <c r="B62" s="10" t="s">
        <v>82</v>
      </c>
      <c r="C62" s="10" t="s">
        <v>93</v>
      </c>
      <c r="D62" s="2" t="s">
        <v>22</v>
      </c>
      <c r="E62" s="2" t="s">
        <v>57</v>
      </c>
      <c r="F62" s="13">
        <v>785</v>
      </c>
      <c r="G62" s="12">
        <v>1</v>
      </c>
      <c r="H62" s="13">
        <f t="shared" si="0"/>
        <v>785</v>
      </c>
    </row>
    <row r="63" spans="1:8" ht="14.4" x14ac:dyDescent="0.3">
      <c r="A63" s="14">
        <v>44840</v>
      </c>
      <c r="B63" s="10" t="s">
        <v>90</v>
      </c>
      <c r="C63" s="10" t="s">
        <v>78</v>
      </c>
      <c r="D63" s="2" t="s">
        <v>25</v>
      </c>
      <c r="E63" s="2" t="s">
        <v>55</v>
      </c>
      <c r="F63" s="11">
        <v>1850</v>
      </c>
      <c r="G63" s="12">
        <v>3</v>
      </c>
      <c r="H63" s="13">
        <f t="shared" si="0"/>
        <v>5550</v>
      </c>
    </row>
    <row r="64" spans="1:8" ht="14.4" x14ac:dyDescent="0.3">
      <c r="A64" s="14">
        <v>44820</v>
      </c>
      <c r="B64" s="10" t="s">
        <v>90</v>
      </c>
      <c r="C64" s="10" t="s">
        <v>78</v>
      </c>
      <c r="D64" s="2" t="s">
        <v>26</v>
      </c>
      <c r="E64" s="2" t="s">
        <v>58</v>
      </c>
      <c r="F64" s="13">
        <v>1750</v>
      </c>
      <c r="G64" s="12">
        <v>2</v>
      </c>
      <c r="H64" s="13">
        <f t="shared" si="0"/>
        <v>3500</v>
      </c>
    </row>
    <row r="65" spans="1:8" ht="14.4" x14ac:dyDescent="0.3">
      <c r="A65" s="14">
        <v>44609</v>
      </c>
      <c r="B65" s="10" t="s">
        <v>97</v>
      </c>
      <c r="C65" s="10" t="s">
        <v>87</v>
      </c>
      <c r="D65" s="2" t="s">
        <v>26</v>
      </c>
      <c r="E65" s="2" t="s">
        <v>59</v>
      </c>
      <c r="F65" s="13">
        <v>27800</v>
      </c>
      <c r="G65" s="12">
        <v>4</v>
      </c>
      <c r="H65" s="13">
        <f t="shared" si="0"/>
        <v>111200</v>
      </c>
    </row>
    <row r="66" spans="1:8" ht="14.4" x14ac:dyDescent="0.3">
      <c r="A66" s="14">
        <v>44842</v>
      </c>
      <c r="B66" s="10" t="s">
        <v>96</v>
      </c>
      <c r="C66" s="10" t="s">
        <v>87</v>
      </c>
      <c r="D66" s="2" t="s">
        <v>26</v>
      </c>
      <c r="E66" s="2" t="s">
        <v>60</v>
      </c>
      <c r="F66" s="13">
        <v>24500</v>
      </c>
      <c r="G66" s="12">
        <v>3</v>
      </c>
      <c r="H66" s="13">
        <f t="shared" si="0"/>
        <v>73500</v>
      </c>
    </row>
    <row r="67" spans="1:8" ht="14.4" x14ac:dyDescent="0.3">
      <c r="A67" s="14">
        <v>44611</v>
      </c>
      <c r="B67" s="10" t="s">
        <v>82</v>
      </c>
      <c r="C67" s="10" t="s">
        <v>93</v>
      </c>
      <c r="D67" s="2" t="s">
        <v>27</v>
      </c>
      <c r="E67" s="2" t="s">
        <v>61</v>
      </c>
      <c r="F67" s="13">
        <v>785</v>
      </c>
      <c r="G67" s="12">
        <v>2</v>
      </c>
      <c r="H67" s="13">
        <f t="shared" si="0"/>
        <v>1570</v>
      </c>
    </row>
    <row r="68" spans="1:8" ht="14.4" x14ac:dyDescent="0.3">
      <c r="A68" s="14">
        <v>44841</v>
      </c>
      <c r="B68" s="10" t="s">
        <v>96</v>
      </c>
      <c r="C68" s="10" t="s">
        <v>87</v>
      </c>
      <c r="D68" s="2" t="s">
        <v>27</v>
      </c>
      <c r="E68" s="2" t="s">
        <v>61</v>
      </c>
      <c r="F68" s="13">
        <v>25000</v>
      </c>
      <c r="G68" s="12">
        <v>3</v>
      </c>
      <c r="H68" s="13">
        <f t="shared" si="0"/>
        <v>75000</v>
      </c>
    </row>
    <row r="69" spans="1:8" ht="14.4" x14ac:dyDescent="0.3">
      <c r="A69" s="14">
        <v>44799</v>
      </c>
      <c r="B69" s="10" t="s">
        <v>90</v>
      </c>
      <c r="C69" s="10" t="s">
        <v>78</v>
      </c>
      <c r="D69" s="2" t="s">
        <v>27</v>
      </c>
      <c r="E69" s="2" t="s">
        <v>61</v>
      </c>
      <c r="F69" s="13">
        <v>1597</v>
      </c>
      <c r="G69" s="12">
        <v>1</v>
      </c>
      <c r="H69" s="13">
        <f t="shared" si="0"/>
        <v>1597</v>
      </c>
    </row>
    <row r="70" spans="1:8" ht="14.4" x14ac:dyDescent="0.3">
      <c r="A70" s="14">
        <v>44766</v>
      </c>
      <c r="B70" s="10" t="s">
        <v>85</v>
      </c>
      <c r="C70" s="10" t="s">
        <v>87</v>
      </c>
      <c r="D70" s="2" t="s">
        <v>27</v>
      </c>
      <c r="E70" s="2" t="s">
        <v>62</v>
      </c>
      <c r="F70" s="13">
        <v>4400</v>
      </c>
      <c r="G70" s="16">
        <v>2</v>
      </c>
      <c r="H70" s="13">
        <f t="shared" si="0"/>
        <v>8800</v>
      </c>
    </row>
    <row r="71" spans="1:8" ht="14.4" x14ac:dyDescent="0.3">
      <c r="A71" s="14">
        <v>44594</v>
      </c>
      <c r="B71" s="10" t="s">
        <v>91</v>
      </c>
      <c r="C71" s="10" t="s">
        <v>78</v>
      </c>
      <c r="D71" s="2" t="s">
        <v>27</v>
      </c>
      <c r="E71" s="2" t="s">
        <v>62</v>
      </c>
      <c r="F71" s="11">
        <v>865</v>
      </c>
      <c r="G71" s="12">
        <v>4</v>
      </c>
      <c r="H71" s="13">
        <f t="shared" si="0"/>
        <v>3460</v>
      </c>
    </row>
    <row r="72" spans="1:8" ht="14.4" x14ac:dyDescent="0.3">
      <c r="A72" s="14">
        <v>44759</v>
      </c>
      <c r="B72" s="10" t="s">
        <v>85</v>
      </c>
      <c r="C72" s="10" t="s">
        <v>87</v>
      </c>
      <c r="D72" s="2" t="s">
        <v>27</v>
      </c>
      <c r="E72" s="2" t="s">
        <v>63</v>
      </c>
      <c r="F72" s="13">
        <v>4789</v>
      </c>
      <c r="G72" s="12">
        <v>3</v>
      </c>
      <c r="H72" s="13">
        <f t="shared" si="0"/>
        <v>14367</v>
      </c>
    </row>
    <row r="73" spans="1:8" ht="14.4" x14ac:dyDescent="0.3">
      <c r="A73" s="14">
        <v>44710</v>
      </c>
      <c r="B73" s="10" t="s">
        <v>97</v>
      </c>
      <c r="C73" s="10" t="s">
        <v>87</v>
      </c>
      <c r="D73" s="2" t="s">
        <v>27</v>
      </c>
      <c r="E73" s="2" t="s">
        <v>63</v>
      </c>
      <c r="F73" s="13">
        <v>26700</v>
      </c>
      <c r="G73" s="16">
        <v>1</v>
      </c>
      <c r="H73" s="13">
        <f t="shared" si="0"/>
        <v>26700</v>
      </c>
    </row>
    <row r="74" spans="1:8" ht="14.4" x14ac:dyDescent="0.3">
      <c r="A74" s="14">
        <v>44591</v>
      </c>
      <c r="B74" s="10" t="s">
        <v>90</v>
      </c>
      <c r="C74" s="10" t="s">
        <v>78</v>
      </c>
      <c r="D74" s="2" t="s">
        <v>27</v>
      </c>
      <c r="E74" s="2" t="s">
        <v>65</v>
      </c>
      <c r="F74" s="11">
        <v>1890</v>
      </c>
      <c r="G74" s="16">
        <v>2</v>
      </c>
      <c r="H74" s="13">
        <f t="shared" si="0"/>
        <v>3780</v>
      </c>
    </row>
    <row r="75" spans="1:8" ht="14.4" x14ac:dyDescent="0.3">
      <c r="A75" s="14">
        <v>44731</v>
      </c>
      <c r="B75" s="10" t="s">
        <v>96</v>
      </c>
      <c r="C75" s="10" t="s">
        <v>87</v>
      </c>
      <c r="D75" s="2" t="s">
        <v>27</v>
      </c>
      <c r="E75" s="2" t="s">
        <v>64</v>
      </c>
      <c r="F75" s="11">
        <v>24500</v>
      </c>
      <c r="G75" s="12">
        <v>1</v>
      </c>
      <c r="H75" s="13">
        <f t="shared" si="0"/>
        <v>24500</v>
      </c>
    </row>
    <row r="76" spans="1:8" ht="14.4" x14ac:dyDescent="0.3">
      <c r="A76" s="14">
        <v>44584</v>
      </c>
      <c r="B76" s="10" t="s">
        <v>82</v>
      </c>
      <c r="C76" s="10" t="s">
        <v>93</v>
      </c>
      <c r="D76" s="2" t="s">
        <v>29</v>
      </c>
      <c r="E76" s="2" t="s">
        <v>66</v>
      </c>
      <c r="F76" s="13">
        <v>785</v>
      </c>
      <c r="G76" s="12">
        <v>1</v>
      </c>
      <c r="H76" s="13">
        <f t="shared" si="0"/>
        <v>785</v>
      </c>
    </row>
    <row r="77" spans="1:8" ht="14.4" x14ac:dyDescent="0.3">
      <c r="A77" s="14">
        <v>44657</v>
      </c>
      <c r="B77" s="10" t="s">
        <v>96</v>
      </c>
      <c r="C77" s="10" t="s">
        <v>87</v>
      </c>
      <c r="D77" s="2" t="s">
        <v>29</v>
      </c>
      <c r="E77" s="2" t="s">
        <v>67</v>
      </c>
      <c r="F77" s="11">
        <v>25000</v>
      </c>
      <c r="G77" s="12">
        <v>2</v>
      </c>
      <c r="H77" s="13">
        <f t="shared" si="0"/>
        <v>50000</v>
      </c>
    </row>
    <row r="78" spans="1:8" ht="14.4" x14ac:dyDescent="0.3">
      <c r="A78" s="14">
        <v>44849</v>
      </c>
      <c r="B78" s="10" t="s">
        <v>76</v>
      </c>
      <c r="C78" s="10" t="s">
        <v>78</v>
      </c>
      <c r="D78" s="2" t="s">
        <v>29</v>
      </c>
      <c r="E78" s="2" t="s">
        <v>67</v>
      </c>
      <c r="F78" s="11">
        <v>1800</v>
      </c>
      <c r="G78" s="16">
        <v>3</v>
      </c>
      <c r="H78" s="13">
        <f t="shared" si="0"/>
        <v>5400</v>
      </c>
    </row>
    <row r="79" spans="1:8" ht="14.4" x14ac:dyDescent="0.3">
      <c r="A79" s="14">
        <v>44729</v>
      </c>
      <c r="B79" s="10" t="s">
        <v>82</v>
      </c>
      <c r="C79" s="10" t="s">
        <v>84</v>
      </c>
      <c r="D79" s="2" t="s">
        <v>29</v>
      </c>
      <c r="E79" s="2" t="s">
        <v>68</v>
      </c>
      <c r="F79" s="13">
        <v>2895</v>
      </c>
      <c r="G79" s="12">
        <v>10</v>
      </c>
      <c r="H79" s="13">
        <f t="shared" si="0"/>
        <v>28950</v>
      </c>
    </row>
    <row r="80" spans="1:8" ht="14.4" x14ac:dyDescent="0.3">
      <c r="A80" s="14">
        <v>44743</v>
      </c>
      <c r="B80" s="10" t="s">
        <v>85</v>
      </c>
      <c r="C80" s="10" t="s">
        <v>87</v>
      </c>
      <c r="D80" s="2" t="s">
        <v>29</v>
      </c>
      <c r="E80" s="2" t="s">
        <v>68</v>
      </c>
      <c r="F80" s="13">
        <v>4789</v>
      </c>
      <c r="G80" s="12">
        <v>8</v>
      </c>
      <c r="H80" s="13">
        <f t="shared" si="0"/>
        <v>38312</v>
      </c>
    </row>
    <row r="81" spans="1:8" ht="14.4" x14ac:dyDescent="0.3">
      <c r="A81" s="14">
        <v>44729</v>
      </c>
      <c r="B81" s="10" t="s">
        <v>88</v>
      </c>
      <c r="C81" s="10" t="s">
        <v>78</v>
      </c>
      <c r="D81" s="2" t="s">
        <v>29</v>
      </c>
      <c r="E81" s="2" t="s">
        <v>68</v>
      </c>
      <c r="F81" s="13">
        <v>2500</v>
      </c>
      <c r="G81" s="12">
        <v>20</v>
      </c>
      <c r="H81" s="13">
        <f t="shared" si="0"/>
        <v>50000</v>
      </c>
    </row>
    <row r="82" spans="1:8" ht="14.4" x14ac:dyDescent="0.3">
      <c r="A82" s="14">
        <v>44885</v>
      </c>
      <c r="B82" s="10" t="s">
        <v>89</v>
      </c>
      <c r="C82" s="10" t="s">
        <v>78</v>
      </c>
      <c r="D82" s="2" t="s">
        <v>29</v>
      </c>
      <c r="E82" s="2" t="s">
        <v>68</v>
      </c>
      <c r="F82" s="11">
        <v>8750</v>
      </c>
      <c r="G82" s="12">
        <v>156</v>
      </c>
      <c r="H82" s="13">
        <f t="shared" si="0"/>
        <v>1365000</v>
      </c>
    </row>
    <row r="83" spans="1:8" ht="14.4" x14ac:dyDescent="0.3">
      <c r="A83" s="14">
        <v>44913</v>
      </c>
      <c r="B83" s="10" t="s">
        <v>91</v>
      </c>
      <c r="C83" s="10" t="s">
        <v>78</v>
      </c>
      <c r="D83" s="2" t="s">
        <v>29</v>
      </c>
      <c r="E83" s="2" t="s">
        <v>68</v>
      </c>
      <c r="F83" s="11">
        <v>890</v>
      </c>
      <c r="G83" s="16">
        <v>15</v>
      </c>
      <c r="H83" s="13">
        <f t="shared" si="0"/>
        <v>13350</v>
      </c>
    </row>
    <row r="84" spans="1:8" ht="14.4" x14ac:dyDescent="0.3">
      <c r="A84" s="14">
        <v>44600</v>
      </c>
      <c r="B84" s="10" t="s">
        <v>82</v>
      </c>
      <c r="C84" s="10" t="s">
        <v>93</v>
      </c>
      <c r="D84" s="2" t="s">
        <v>29</v>
      </c>
      <c r="E84" s="2" t="s">
        <v>68</v>
      </c>
      <c r="F84" s="13">
        <v>785</v>
      </c>
      <c r="G84" s="12">
        <v>3</v>
      </c>
      <c r="H84" s="13">
        <f t="shared" si="0"/>
        <v>2355</v>
      </c>
    </row>
    <row r="85" spans="1:8" ht="14.4" x14ac:dyDescent="0.3">
      <c r="A85" s="9"/>
      <c r="B85" s="10"/>
      <c r="C85" s="10"/>
      <c r="D85" s="10"/>
      <c r="E85" s="10"/>
      <c r="F85" s="13"/>
      <c r="G85" s="16"/>
      <c r="H85" s="13"/>
    </row>
    <row r="86" spans="1:8" ht="14.4" x14ac:dyDescent="0.3">
      <c r="A86" s="9"/>
      <c r="B86" s="10"/>
      <c r="C86" s="10"/>
      <c r="D86" s="10"/>
      <c r="E86" s="10"/>
      <c r="F86" s="13"/>
      <c r="G86" s="16"/>
      <c r="H8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Vendedores</vt:lpstr>
      <vt:lpstr>Clientes</vt:lpstr>
      <vt:lpstr>Locales</vt:lpstr>
      <vt:lpstr>Producto</vt:lpstr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Lennart</cp:lastModifiedBy>
  <dcterms:modified xsi:type="dcterms:W3CDTF">2025-11-06T16:09:17Z</dcterms:modified>
</cp:coreProperties>
</file>